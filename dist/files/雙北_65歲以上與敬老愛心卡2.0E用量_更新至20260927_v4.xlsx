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3c2b9775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雙北每日彙總" sheetId="1" r:id="Rac717296cc734f6f"/>
    <x:sheet xmlns:r="http://schemas.openxmlformats.org/officeDocument/2006/relationships" name="雙北逐月2.0E比例" sheetId="2" r:id="R6495d1b80bf346cd"/>
    <x:sheet xmlns:r="http://schemas.openxmlformats.org/officeDocument/2006/relationships" name="台北每日數據" sheetId="3" r:id="R6afa272677254126"/>
    <x:sheet xmlns:r="http://schemas.openxmlformats.org/officeDocument/2006/relationships" name="新北每日數據" sheetId="4" r:id="Rc7bfb1c111034aef"/>
    <x:sheet xmlns:r="http://schemas.openxmlformats.org/officeDocument/2006/relationships" name="性別年齡總覽" sheetId="5" r:id="R4a23133073fa4cf7"/>
    <x:sheet xmlns:r="http://schemas.openxmlformats.org/officeDocument/2006/relationships" name="性別年齡月別明細" sheetId="6" r:id="R05e1b402f33e491b"/>
    <x:sheet xmlns:r="http://schemas.openxmlformats.org/officeDocument/2006/relationships" name="每日資料來源與檢核" sheetId="7" r:id="Rc879cb2ac28f48a9"/>
    <x:sheet xmlns:r="http://schemas.openxmlformats.org/officeDocument/2006/relationships" name="性別年齡來源與檢核" sheetId="8" r:id="Rd01a5700d2eb4ed8"/>
    <x:sheet xmlns:r="http://schemas.openxmlformats.org/officeDocument/2006/relationships" name="65歲以上" sheetId="9" r:id="Rd63b943e9e294a26"/>
    <x:sheet xmlns:r="http://schemas.openxmlformats.org/officeDocument/2006/relationships" name="敬老卡比例" sheetId="10" r:id="R4b9add5f9ccc4234"/>
  </x:sheets>
</x:workbook>
</file>

<file path=xl/comments1.xml><?xml version="1.0" encoding="utf-8"?>
<x:comments xmlns:x="http://schemas.openxmlformats.org/spreadsheetml/2006/main">
  <x:authors>
    <x:author>tc={D471A000-EBA0-4257-8F51-7EDD1D399996}</x:author>
  </x:authors>
  <x:commentList>
    <x:comment ref="G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雙北敬老愛心次數為台北與新北兩張城市表的 2.0E 敬老使用次數合計；任一城市尚無資料時留白。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tc={7639E3C3-449E-4153-ACAE-D3263CF2A3B0}</x:author>
    <x:author>tc={91DCA1D1-7D58-48D6-A7A2-893B00474F25}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Report 的 2.0E 日報沒有「合約車輛數」欄；此欄依需求名稱呈現，數值取自平台的「上線車輛數」。</x:t>
        </x:r>
      </x:text>
    </x:comment>
    <x:comment ref="G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來源為 Report 2.0E 日報的「敬老使用次數」；不是「敬老使用卡片數」。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tc={575CB436-EE18-4173-8A41-F0B277A022C3}</x:author>
    <x:author>tc={148B728A-6F4A-4A9B-9180-A32FBA4397D7}</x:author>
  </x:authors>
  <x:commentList>
    <x:comment ref="F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Report 的 2.0E 日報沒有「合約車輛數」欄；此欄依需求名稱呈現，數值取自平台的「上線車輛數」。</x:t>
        </x:r>
      </x:text>
    </x:comment>
    <x:comment ref="G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來源為 Report 2.0E 日報的「敬老使用次數」；不是「敬老使用卡片數」。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tc={67ACDEB9-8C13-4F74-A769-F8EE432F6259}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來源網址：https://youbike-report-api-421613424541.asia-east1.run.app/report/gcpfun</x:t>
        </x:r>
      </x:text>
    </x:comment>
  </x:commentList>
</x:comments>
</file>

<file path=xl/comments5.xml><?xml version="1.0" encoding="utf-8"?>
<x:comments xmlns:x="http://schemas.openxmlformats.org/spreadsheetml/2006/main">
  <x:authors>
    <x:author>tc={B0DE0E48-E4D2-4639-866F-D224CEF8AC9F}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來源網址：https://datastudio.google.com/reporting/47a02eaf-102a-452c-922f-97a75e5a27e5/page/8GclC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0.0%"/>
    <x:numFmt numFmtId="203" formatCode="yyyy-mm"/>
    <x:numFmt numFmtId="204" formatCode="@"/>
  </x:numFmts>
  <x:fonts count="21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294C57"/>
      <x:name val="Arial"/>
    </x:font>
    <x:font>
      <x:b/>
      <x:sz val="10"/>
      <x:color rgb="FF355A64"/>
      <x:name val="Arial"/>
    </x:font>
    <x:font>
      <x:b/>
      <x:sz val="12"/>
      <x:color rgb="FF0F4C5C"/>
      <x:name val="Arial"/>
    </x:font>
    <x:font>
      <x:b/>
      <x:sz val="10"/>
      <x:color rgb="FFFFFFFF"/>
      <x:name val="Arial"/>
    </x:font>
    <x:font>
      <x:b/>
      <x:sz val="18"/>
      <x:color rgb="FF17365D"/>
      <x:name val="Arial"/>
    </x:font>
    <x:font>
      <x:i/>
      <x:sz val="10"/>
      <x:color rgb="FF7F8C8D"/>
      <x:name val="Arial"/>
    </x:font>
    <x:font>
      <x:b/>
      <x:sz val="10"/>
      <x:color rgb="FF17365D"/>
      <x:name val="Arial"/>
    </x:font>
    <x:font>
      <x:i/>
      <x:sz val="10"/>
      <x:color rgb="FF1F1F1F"/>
      <x:name val="Arial"/>
    </x:font>
    <x:font>
      <x:b/>
      <x:sz val="10"/>
      <x:color rgb="FF1F1F1F"/>
      <x:name val="Arial"/>
    </x:font>
    <x:font>
      <x:b/>
      <x:sz val="12"/>
      <x:color rgb="FF17365D"/>
      <x:name val="Arial"/>
    </x:font>
    <x:font>
      <x:b/>
      <x:sz val="15"/>
      <x:color rgb="FFFFFFFF"/>
      <x:name val="Arial"/>
    </x:font>
    <x:font>
      <x:b/>
      <x:sz val="16"/>
      <x:color rgb="FF1F4E78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6"/>
      <x:color rgb="FF9E480E"/>
      <x:name val="Arial"/>
    </x:font>
    <x:font>
      <x:b/>
      <x:sz val="10"/>
      <x:color rgb="FF843C0C"/>
      <x:name val="Arial"/>
    </x:font>
    <x:font>
      <x:sz val="9"/>
      <x:color rgb="FF595959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EF2"/>
      </x:patternFill>
    </x:fill>
    <x:fill>
      <x:patternFill patternType="solid">
        <x:fgColor rgb="FFEAF2F4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4F5F6"/>
      </x:patternFill>
    </x:fill>
    <x:fill>
      <x:patternFill patternType="solid">
        <x:fgColor rgb="FFE7E6E6"/>
      </x:patternFill>
    </x:fill>
    <x:fill>
      <x:patternFill patternType="solid">
        <x:fgColor rgb="FF355A64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D7D31"/>
      </x:patternFill>
    </x:fill>
    <x:fill>
      <x:patternFill patternType="solid">
        <x:fgColor rgb="FF843C0C"/>
      </x:patternFill>
    </x:fill>
  </x:fills>
  <x:borders count="36">
    <x:border/>
    <x:border>
      <x:left style="thin">
        <x:color rgb="FFB6CDD3"/>
      </x:left>
      <x:top style="thin">
        <x:color rgb="FFB6CDD3"/>
      </x:top>
      <x:bottom style="thin">
        <x:color rgb="FFB6CDD3"/>
      </x:bottom>
    </x:border>
    <x:border>
      <x:top style="thin">
        <x:color rgb="FFB6CDD3"/>
      </x:top>
      <x:bottom style="thin">
        <x:color rgb="FFB6CDD3"/>
      </x:bottom>
    </x:border>
    <x:border>
      <x:right style="thin">
        <x:color rgb="FFB6CDD3"/>
      </x:right>
      <x:top style="thin">
        <x:color rgb="FFB6CDD3"/>
      </x:top>
      <x:bottom style="thin">
        <x:color rgb="FFB6CDD3"/>
      </x:bottom>
    </x:border>
    <x:border>
      <x:left style="thin">
        <x:color rgb="FF0B5E58"/>
      </x:left>
      <x:top style="thin">
        <x:color rgb="FF0B5E58"/>
      </x:top>
      <x:bottom style="thin">
        <x:color rgb="FF0B5E58"/>
      </x:bottom>
    </x:border>
    <x:border>
      <x:top style="thin">
        <x:color rgb="FF0B5E58"/>
      </x:top>
      <x:bottom style="thin">
        <x:color rgb="FF0B5E58"/>
      </x:bottom>
    </x:border>
    <x:border>
      <x:right style="thin">
        <x:color rgb="FF0B5E58"/>
      </x:right>
      <x:top style="thin">
        <x:color rgb="FF0B5E58"/>
      </x:top>
      <x:bottom style="thin">
        <x:color rgb="FF0B5E5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  <x:border>
      <x:bottom style="thin">
        <x:color rgb="FF2F75B5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right style="thin">
        <x:color rgb="FFFFFFFF"/>
      </x:right>
      <x:bottom style="thin">
        <x:color rgb="FFD9E1F2"/>
      </x:bottom>
    </x:border>
    <x:border>
      <x:left style="thin">
        <x:color rgb="FFFFFFFF"/>
      </x:left>
      <x:right style="thin">
        <x:color rgb="FFFFFFFF"/>
      </x:right>
      <x:bottom style="thin">
        <x:color rgb="FFD9E1F2"/>
      </x:bottom>
    </x:border>
    <x:border>
      <x:left style="thin">
        <x:color rgb="FFFFFFFF"/>
      </x:left>
      <x:bottom style="thin">
        <x:color rgb="FFD9E1F2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top style="double">
        <x:color rgb="FF2F75B5"/>
      </x:top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E5E7EB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200" fontId="5" fillId="5" borderId="2" xfId="0" applyNumberFormat="1" applyFont="1" applyFill="1" applyBorder="1" applyAlignment="1">
      <x:alignment horizontal="center"/>
    </x:xf>
    <x:xf numFmtId="201" fontId="5" fillId="5" borderId="2" xfId="0" applyNumberFormat="1" applyFont="1" applyFill="1" applyBorder="1" applyAlignment="1">
      <x:alignment horizontal="center"/>
    </x:xf>
    <x:xf numFmtId="200" fontId="5" fillId="5" borderId="3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7" xfId="0" applyNumberFormat="1" applyFont="1" applyFill="1" applyBorder="1" applyAlignment="1">
      <x:alignment horizontal="center"/>
    </x:xf>
    <x:xf numFmtId="200" fontId="1" fillId="0" borderId="7" xfId="0" applyNumberFormat="1" applyFont="1" applyFill="1" applyBorder="1" applyAlignment="1">
      <x:alignment horizontal="right"/>
    </x:xf>
    <x:xf numFmtId="201" fontId="1" fillId="0" borderId="8" xfId="0" applyNumberFormat="1" applyFont="1" applyFill="1" applyBorder="1" applyAlignment="1">
      <x:alignment horizontal="center"/>
    </x:xf>
    <x:xf numFmtId="200" fontId="1" fillId="0" borderId="8" xfId="0" applyNumberFormat="1" applyFont="1" applyFill="1" applyBorder="1" applyAlignment="1">
      <x:alignment horizontal="right"/>
    </x:xf>
    <x:xf numFmtId="201" fontId="1" fillId="0" borderId="9" xfId="0" applyNumberFormat="1" applyFont="1" applyFill="1" applyBorder="1" applyAlignment="1">
      <x:alignment horizontal="center"/>
    </x:xf>
    <x:xf numFmtId="200" fontId="1" fillId="0" borderId="9" xfId="0" applyNumberFormat="1" applyFont="1" applyFill="1" applyBorder="1" applyAlignment="1">
      <x:alignment horizontal="right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1" xfId="0" applyNumberFormat="1" applyFont="1" applyFill="1" applyBorder="1" applyAlignment="1">
      <x:alignment horizontal="center" wrapText="1"/>
    </x:xf>
    <x:xf numFmtId="0" fontId="6" fillId="7" borderId="12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/>
    <x:xf numFmtId="0" fontId="1" fillId="8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4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4" xfId="0" applyNumberFormat="1" applyFont="1" applyFill="1" applyBorder="1" applyAlignment="1">
      <x:alignment horizontal="center"/>
    </x:xf>
    <x:xf numFmtId="0" fontId="9" fillId="9" borderId="15" xfId="0" applyNumberFormat="1" applyFont="1" applyFill="1" applyBorder="1" applyAlignment="1">
      <x:alignment horizontal="center"/>
    </x:xf>
    <x:xf numFmtId="0" fontId="9" fillId="9" borderId="16" xfId="0" applyNumberFormat="1" applyFont="1" applyFill="1" applyBorder="1" applyAlignment="1">
      <x:alignment horizontal="center"/>
    </x:xf>
    <x:xf numFmtId="0" fontId="9" fillId="9" borderId="14" xfId="0" applyNumberFormat="1" applyFont="1" applyFill="1" applyBorder="1" applyAlignment="1">
      <x:alignment horizontal="center" vertical="center"/>
    </x:xf>
    <x:xf numFmtId="0" fontId="9" fillId="9" borderId="15" xfId="0" applyNumberFormat="1" applyFont="1" applyFill="1" applyBorder="1" applyAlignment="1">
      <x:alignment horizontal="center" vertical="center"/>
    </x:xf>
    <x:xf numFmtId="0" fontId="9" fillId="9" borderId="16" xfId="0" applyNumberFormat="1" applyFont="1" applyFill="1" applyBorder="1" applyAlignment="1">
      <x:alignment horizontal="center" vertical="center"/>
    </x:xf>
    <x:xf numFmtId="0" fontId="6" fillId="7" borderId="17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17" xfId="0" applyNumberFormat="1" applyFont="1" applyFill="1" applyBorder="1" applyAlignment="1">
      <x:alignment wrapText="1"/>
    </x:xf>
    <x:xf numFmtId="0" fontId="6" fillId="7" borderId="18" xfId="0" applyNumberFormat="1" applyFont="1" applyFill="1" applyBorder="1" applyAlignment="1">
      <x:alignment wrapText="1"/>
    </x:xf>
    <x:xf numFmtId="0" fontId="6" fillId="7" borderId="19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horizontal="center" wrapText="1"/>
    </x:xf>
    <x:xf numFmtId="0" fontId="6" fillId="7" borderId="18" xfId="0" applyNumberFormat="1" applyFont="1" applyFill="1" applyBorder="1" applyAlignment="1">
      <x:alignment horizontal="center" wrapText="1"/>
    </x:xf>
    <x:xf numFmtId="0" fontId="6" fillId="7" borderId="19" xfId="0" applyNumberFormat="1" applyFont="1" applyFill="1" applyBorder="1" applyAlignment="1">
      <x:alignment horizontal="center" wrapText="1"/>
    </x:xf>
    <x:xf numFmtId="0" fontId="6" fillId="7" borderId="17" xfId="0" applyNumberFormat="1" applyFont="1" applyFill="1" applyBorder="1" applyAlignment="1">
      <x:alignment horizontal="center" vertic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6" fillId="7" borderId="19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/>
    <x:xf numFmtId="0" fontId="1" fillId="0" borderId="21" xfId="0" applyNumberFormat="1" applyFont="1" applyFill="1" applyBorder="1"/>
    <x:xf numFmtId="0" fontId="1" fillId="8" borderId="21" xfId="0" applyNumberFormat="1" applyFont="1" applyFill="1" applyBorder="1"/>
    <x:xf numFmtId="0" fontId="1" fillId="0" borderId="22" xfId="0" applyNumberFormat="1" applyFont="1" applyFill="1" applyBorder="1"/>
    <x:xf numFmtId="200" fontId="1" fillId="8" borderId="20" xfId="0" applyNumberFormat="1" applyFont="1" applyFill="1" applyBorder="1"/>
    <x:xf numFmtId="200" fontId="1" fillId="0" borderId="21" xfId="0" applyNumberFormat="1" applyFont="1" applyFill="1" applyBorder="1"/>
    <x:xf numFmtId="200" fontId="1" fillId="8" borderId="21" xfId="0" applyNumberFormat="1" applyFont="1" applyFill="1" applyBorder="1"/>
    <x:xf numFmtId="200" fontId="1" fillId="0" borderId="22" xfId="0" applyNumberFormat="1" applyFont="1" applyFill="1" applyBorder="1"/>
    <x:xf numFmtId="202" fontId="1" fillId="8" borderId="20" xfId="0" applyNumberFormat="1" applyFont="1" applyFill="1" applyBorder="1"/>
    <x:xf numFmtId="202" fontId="1" fillId="0" borderId="21" xfId="0" applyNumberFormat="1" applyFont="1" applyFill="1" applyBorder="1"/>
    <x:xf numFmtId="202" fontId="1" fillId="8" borderId="21" xfId="0" applyNumberFormat="1" applyFont="1" applyFill="1" applyBorder="1"/>
    <x:xf numFmtId="202" fontId="1" fillId="0" borderId="22" xfId="0" applyNumberFormat="1" applyFont="1" applyFill="1" applyBorder="1"/>
    <x:xf numFmtId="202" fontId="1" fillId="0" borderId="0" xfId="0" applyNumberFormat="1" applyFont="1" applyFill="1" applyBorder="1"/>
    <x:xf numFmtId="200" fontId="1" fillId="9" borderId="0" xfId="0" applyNumberFormat="1" applyFont="1" applyFill="1" applyBorder="1"/>
    <x:xf numFmtId="202" fontId="1" fillId="9" borderId="0" xfId="0" applyNumberFormat="1" applyFont="1" applyFill="1" applyBorder="1"/>
    <x:xf numFmtId="200" fontId="9" fillId="9" borderId="0" xfId="0" applyNumberFormat="1" applyFont="1" applyFill="1" applyBorder="1"/>
    <x:xf numFmtId="202" fontId="9" fillId="9" borderId="0" xfId="0" applyNumberFormat="1" applyFont="1" applyFill="1" applyBorder="1"/>
    <x:xf numFmtId="0" fontId="9" fillId="9" borderId="23" xfId="0" applyNumberFormat="1" applyFont="1" applyFill="1" applyBorder="1"/>
    <x:xf numFmtId="200" fontId="9" fillId="9" borderId="23" xfId="0" applyNumberFormat="1" applyFont="1" applyFill="1" applyBorder="1"/>
    <x:xf numFmtId="202" fontId="9" fillId="9" borderId="23" xfId="0" applyNumberFormat="1" applyFont="1" applyFill="1" applyBorder="1"/>
    <x:xf numFmtId="0" fontId="1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24" xfId="0" applyNumberFormat="1" applyFont="1" applyFill="1" applyBorder="1"/>
    <x:xf numFmtId="0" fontId="10" fillId="10" borderId="25" xfId="0" applyNumberFormat="1" applyFont="1" applyFill="1" applyBorder="1"/>
    <x:xf numFmtId="0" fontId="10" fillId="10" borderId="26" xfId="0" applyNumberFormat="1" applyFont="1" applyFill="1" applyBorder="1"/>
    <x:xf numFmtId="0" fontId="10" fillId="10" borderId="24" xfId="0" applyNumberFormat="1" applyFont="1" applyFill="1" applyBorder="1" applyAlignment="1">
      <x:alignment wrapText="1"/>
    </x:xf>
    <x:xf numFmtId="0" fontId="10" fillId="10" borderId="25" xfId="0" applyNumberFormat="1" applyFont="1" applyFill="1" applyBorder="1" applyAlignment="1">
      <x:alignment wrapText="1"/>
    </x:xf>
    <x:xf numFmtId="0" fontId="10" fillId="10" borderId="26" xfId="0" applyNumberFormat="1" applyFont="1" applyFill="1" applyBorder="1" applyAlignment="1">
      <x:alignment wrapText="1"/>
    </x:xf>
    <x:xf numFmtId="0" fontId="10" fillId="10" borderId="24" xfId="0" applyNumberFormat="1" applyFont="1" applyFill="1" applyBorder="1" applyAlignment="1">
      <x:alignment vertical="center" wrapText="1"/>
    </x:xf>
    <x:xf numFmtId="0" fontId="10" fillId="10" borderId="25" xfId="0" applyNumberFormat="1" applyFont="1" applyFill="1" applyBorder="1" applyAlignment="1">
      <x:alignment vertical="center" wrapText="1"/>
    </x:xf>
    <x:xf numFmtId="0" fontId="10" fillId="10" borderId="26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horizontal="left"/>
    </x:xf>
    <x:xf numFmtId="0" fontId="1" fillId="0" borderId="21" xfId="0" applyNumberFormat="1" applyFont="1" applyFill="1" applyBorder="1" applyAlignment="1">
      <x:alignment horizontal="left"/>
    </x:xf>
    <x:xf numFmtId="0" fontId="1" fillId="8" borderId="21" xfId="0" applyNumberFormat="1" applyFont="1" applyFill="1" applyBorder="1" applyAlignment="1">
      <x:alignment horizontal="left"/>
    </x:xf>
    <x:xf numFmtId="0" fontId="1" fillId="0" borderId="22" xfId="0" applyNumberFormat="1" applyFont="1" applyFill="1" applyBorder="1" applyAlignment="1">
      <x:alignment horizontal="left"/>
    </x:xf>
    <x:xf numFmtId="0" fontId="9" fillId="9" borderId="23" xfId="0" applyNumberFormat="1" applyFont="1" applyFill="1" applyBorder="1" applyAlignment="1">
      <x:alignment horizontal="left"/>
    </x:xf>
    <x:xf numFmtId="200" fontId="1" fillId="8" borderId="20" xfId="0" applyNumberFormat="1" applyFont="1" applyFill="1" applyBorder="1" applyAlignment="1">
      <x:alignment horizontal="right"/>
    </x:xf>
    <x:xf numFmtId="202" fontId="1" fillId="8" borderId="20" xfId="0" applyNumberFormat="1" applyFont="1" applyFill="1" applyBorder="1" applyAlignment="1">
      <x:alignment horizontal="right"/>
    </x:xf>
    <x:xf numFmtId="200" fontId="1" fillId="0" borderId="21" xfId="0" applyNumberFormat="1" applyFont="1" applyFill="1" applyBorder="1" applyAlignment="1">
      <x:alignment horizontal="right"/>
    </x:xf>
    <x:xf numFmtId="202" fontId="1" fillId="0" borderId="21" xfId="0" applyNumberFormat="1" applyFont="1" applyFill="1" applyBorder="1" applyAlignment="1">
      <x:alignment horizontal="right"/>
    </x:xf>
    <x:xf numFmtId="200" fontId="1" fillId="8" borderId="21" xfId="0" applyNumberFormat="1" applyFont="1" applyFill="1" applyBorder="1" applyAlignment="1">
      <x:alignment horizontal="right"/>
    </x:xf>
    <x:xf numFmtId="202" fontId="1" fillId="8" borderId="21" xfId="0" applyNumberFormat="1" applyFont="1" applyFill="1" applyBorder="1" applyAlignment="1">
      <x:alignment horizontal="right"/>
    </x:xf>
    <x:xf numFmtId="200" fontId="1" fillId="0" borderId="22" xfId="0" applyNumberFormat="1" applyFont="1" applyFill="1" applyBorder="1" applyAlignment="1">
      <x:alignment horizontal="right"/>
    </x:xf>
    <x:xf numFmtId="202" fontId="1" fillId="0" borderId="22" xfId="0" applyNumberFormat="1" applyFont="1" applyFill="1" applyBorder="1" applyAlignment="1">
      <x:alignment horizontal="right"/>
    </x:xf>
    <x:xf numFmtId="200" fontId="9" fillId="9" borderId="23" xfId="0" applyNumberFormat="1" applyFont="1" applyFill="1" applyBorder="1" applyAlignment="1">
      <x:alignment horizontal="right"/>
    </x:xf>
    <x:xf numFmtId="202" fontId="9" fillId="9" borderId="23" xfId="0" applyNumberFormat="1" applyFont="1" applyFill="1" applyBorder="1" applyAlignment="1">
      <x:alignment horizontal="right"/>
    </x:xf>
    <x:xf numFmtId="0" fontId="1" fillId="0" borderId="20" xfId="0" applyNumberFormat="1" applyFont="1" applyFill="1" applyBorder="1"/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22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0" fontId="1" fillId="8" borderId="0" xfId="0" applyNumberFormat="1" applyFont="1" applyFill="1" applyBorder="1"/>
    <x:xf numFmtId="202" fontId="1" fillId="8" borderId="0" xfId="0" applyNumberFormat="1" applyFont="1" applyFill="1" applyBorder="1"/>
    <x:xf numFmtId="200" fontId="1" fillId="10" borderId="0" xfId="0" applyNumberFormat="1" applyFont="1" applyFill="1" applyBorder="1"/>
    <x:xf numFmtId="0" fontId="1" fillId="11" borderId="0" xfId="0" applyNumberFormat="1" applyFont="1" applyFill="1" applyBorder="1"/>
    <x:xf numFmtId="0" fontId="11" fillId="11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200" fontId="1" fillId="10" borderId="0" xfId="0" applyNumberFormat="1" applyFont="1" applyFill="1" applyBorder="1" applyAlignment="1">
      <x:alignment horizontal="right"/>
    </x:xf>
    <x:xf numFmtId="200" fontId="1" fillId="8" borderId="0" xfId="0" applyNumberFormat="1" applyFont="1" applyFill="1" applyBorder="1" applyAlignment="1">
      <x:alignment horizontal="right"/>
    </x:xf>
    <x:xf numFmtId="202" fontId="1" fillId="8" borderId="0" xfId="0" applyNumberFormat="1" applyFont="1" applyFill="1" applyBorder="1" applyAlignment="1">
      <x:alignment horizontal="right"/>
    </x:xf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1" fillId="0" borderId="27" xfId="0" applyNumberFormat="1" applyFont="1" applyFill="1" applyBorder="1"/>
    <x:xf numFmtId="0" fontId="11" fillId="0" borderId="28" xfId="0" applyNumberFormat="1" applyFont="1" applyFill="1" applyBorder="1"/>
    <x:xf numFmtId="0" fontId="1" fillId="8" borderId="27" xfId="0" applyNumberFormat="1" applyFont="1" applyFill="1" applyBorder="1"/>
    <x:xf numFmtId="0" fontId="12" fillId="8" borderId="27" xfId="0" applyNumberFormat="1" applyFont="1" applyFill="1" applyBorder="1"/>
    <x:xf numFmtId="200" fontId="12" fillId="8" borderId="27" xfId="0" applyNumberFormat="1" applyFont="1" applyFill="1" applyBorder="1"/>
    <x:xf numFmtId="202" fontId="1" fillId="0" borderId="28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0" fontId="9" fillId="8" borderId="23" xfId="0" applyNumberFormat="1" applyFont="1" applyFill="1" applyBorder="1"/>
    <x:xf numFmtId="200" fontId="9" fillId="8" borderId="23" xfId="0" applyNumberFormat="1" applyFont="1" applyFill="1" applyBorder="1"/>
    <x:xf numFmtId="204" fontId="1" fillId="0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29" xfId="0" applyNumberFormat="1" applyFont="1" applyFill="1" applyBorder="1"/>
    <x:xf numFmtId="0" fontId="6" fillId="6" borderId="0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horizontal="center" wrapText="1"/>
    </x:xf>
    <x:xf numFmtId="0" fontId="1" fillId="0" borderId="29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/>
    <x:xf numFmtId="201" fontId="1" fillId="0" borderId="7" xfId="0" applyNumberFormat="1" applyFont="1" applyFill="1" applyBorder="1"/>
    <x:xf numFmtId="200" fontId="1" fillId="0" borderId="8" xfId="0" applyNumberFormat="1" applyFont="1" applyFill="1" applyBorder="1"/>
    <x:xf numFmtId="201" fontId="1" fillId="0" borderId="8" xfId="0" applyNumberFormat="1" applyFont="1" applyFill="1" applyBorder="1"/>
    <x:xf numFmtId="200" fontId="1" fillId="0" borderId="29" xfId="0" applyNumberFormat="1" applyFont="1" applyFill="1" applyBorder="1"/>
    <x:xf numFmtId="201" fontId="1" fillId="0" borderId="29" xfId="0" applyNumberFormat="1" applyFont="1" applyFill="1" applyBorder="1"/>
    <x:xf numFmtId="0" fontId="6" fillId="7" borderId="30" xfId="0" applyNumberFormat="1" applyFont="1" applyFill="1" applyBorder="1"/>
    <x:xf numFmtId="0" fontId="6" fillId="7" borderId="31" xfId="0" applyNumberFormat="1" applyFont="1" applyFill="1" applyBorder="1"/>
    <x:xf numFmtId="0" fontId="6" fillId="7" borderId="32" xfId="0" applyNumberFormat="1" applyFont="1" applyFill="1" applyBorder="1"/>
    <x:xf numFmtId="0" fontId="6" fillId="7" borderId="30" xfId="0" applyNumberFormat="1" applyFont="1" applyFill="1" applyBorder="1" applyAlignment="1">
      <x:alignment horizontal="center"/>
    </x:xf>
    <x:xf numFmtId="0" fontId="6" fillId="7" borderId="31" xfId="0" applyNumberFormat="1" applyFont="1" applyFill="1" applyBorder="1" applyAlignment="1">
      <x:alignment horizontal="center"/>
    </x:xf>
    <x:xf numFmtId="0" fontId="6" fillId="7" borderId="32" xfId="0" applyNumberFormat="1" applyFont="1" applyFill="1" applyBorder="1" applyAlignment="1">
      <x:alignment horizontal="center"/>
    </x:xf>
    <x:xf numFmtId="0" fontId="6" fillId="7" borderId="30" xfId="0" applyNumberFormat="1" applyFont="1" applyFill="1" applyBorder="1" applyAlignment="1">
      <x:alignment horizontal="center" vertical="center"/>
    </x:xf>
    <x:xf numFmtId="0" fontId="6" fillId="7" borderId="31" xfId="0" applyNumberFormat="1" applyFont="1" applyFill="1" applyBorder="1" applyAlignment="1">
      <x:alignment horizontal="center" vertical="center"/>
    </x:xf>
    <x:xf numFmtId="0" fontId="6" fillId="7" borderId="32" xfId="0" applyNumberFormat="1" applyFont="1" applyFill="1" applyBorder="1" applyAlignment="1">
      <x:alignment horizontal="center" vertical="center"/>
    </x:xf>
    <x:xf numFmtId="0" fontId="11" fillId="0" borderId="20" xfId="0" applyNumberFormat="1" applyFont="1" applyFill="1" applyBorder="1"/>
    <x:xf numFmtId="0" fontId="11" fillId="0" borderId="21" xfId="0" applyNumberFormat="1" applyFont="1" applyFill="1" applyBorder="1"/>
    <x:xf numFmtId="0" fontId="11" fillId="0" borderId="22" xfId="0" applyNumberFormat="1" applyFont="1" applyFill="1" applyBorder="1"/>
    <x:xf numFmtId="0" fontId="1" fillId="8" borderId="22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wrapText="1"/>
    </x:xf>
    <x:xf numFmtId="0" fontId="0" fillId="0" borderId="33" xfId="0" applyNumberFormat="1" applyFont="1" applyFill="1" applyBorder="1"/>
    <x:xf numFmtId="0" fontId="0" fillId="16" borderId="33" xfId="0" applyNumberFormat="1" applyFont="1" applyFill="1" applyBorder="1"/>
    <x:xf numFmtId="0" fontId="11" fillId="16" borderId="33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200" fontId="0" fillId="0" borderId="33" xfId="0" applyNumberFormat="1" applyFont="1" applyFill="1" applyBorder="1"/>
    <x:xf numFmtId="200" fontId="11" fillId="16" borderId="33" xfId="0" applyNumberFormat="1" applyFont="1" applyFill="1" applyBorder="1"/>
    <x:xf numFmtId="202" fontId="0" fillId="0" borderId="33" xfId="0" applyNumberFormat="1" applyFont="1" applyFill="1" applyBorder="1"/>
    <x:xf numFmtId="202" fontId="11" fillId="16" borderId="33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0" fillId="0" borderId="34" xfId="0" applyNumberFormat="1" applyFont="1" applyFill="1" applyBorder="1"/>
    <x:xf numFmtId="200" fontId="0" fillId="0" borderId="34" xfId="0" applyNumberFormat="1" applyFont="1" applyFill="1" applyBorder="1"/>
    <x:xf numFmtId="202" fontId="0" fillId="0" borderId="3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wrapText="1"/>
    </x:xf>
    <x:xf numFmtId="0" fontId="0" fillId="0" borderId="35" xfId="0" applyNumberFormat="1" applyFont="1" applyFill="1" applyBorder="1"/>
    <x:xf numFmtId="202" fontId="0" fillId="0" borderId="35" xfId="0" applyNumberFormat="1" applyFont="1" applyFill="1" applyBorder="1"/>
    <x:xf numFmtId="0" fontId="0" fillId="15" borderId="35" xfId="0" applyNumberFormat="1" applyFont="1" applyFill="1" applyBorder="1"/>
    <x:xf numFmtId="0" fontId="6" fillId="15" borderId="35" xfId="0" applyNumberFormat="1" applyFont="1" applyFill="1" applyBorder="1"/>
    <x:xf numFmtId="0" fontId="20" fillId="0" borderId="0" xfId="0" applyNumberFormat="1" applyFont="1" applyFill="1" applyBorder="1"/>
  </x:cellXfs>
  <x:cellStyles count="1">
    <x:cellStyle name="Normal" xfId="0"/>
  </x:cellStyles>
  <x:dxfs count="3">
    <x:dxf>
      <x:font>
        <x:color rgb="FF9CA3AF"/>
      </x:font>
      <x:fill>
        <x:patternFill>
          <x:bgColor rgb="FFF3F4F6"/>
        </x:patternFill>
      </x:fill>
    </x:dxf>
    <x:dxf>
      <x:font>
        <x:color rgb="FF9CA3AF"/>
      </x:font>
      <x:fill>
        <x:patternFill>
          <x:bgColor rgb="FFF3F4F6"/>
        </x:patternFill>
      </x:fill>
    </x:dxf>
    <x:dxf>
      <x:font>
        <x:color rgb="FF9CA3AF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1daa3f0704809" /><Relationship Type="http://schemas.openxmlformats.org/officeDocument/2006/relationships/theme" Target="/xl/theme/theme1.xml" Id="R91740e170ce0474d" /><Relationship Type="http://schemas.openxmlformats.org/officeDocument/2006/relationships/sharedStrings" Target="/xl/sharedStrings.xml" Id="R9653bf3a38f84c74" /><Relationship Type="http://schemas.openxmlformats.org/officeDocument/2006/relationships/worksheet" Target="/xl/worksheets/sheet1.xml" Id="Rac717296cc734f6f" /><Relationship Type="http://schemas.openxmlformats.org/officeDocument/2006/relationships/worksheet" Target="/xl/worksheets/sheet2.xml" Id="R6495d1b80bf346cd" /><Relationship Type="http://schemas.openxmlformats.org/officeDocument/2006/relationships/worksheet" Target="/xl/worksheets/sheet3.xml" Id="R6afa272677254126" /><Relationship Type="http://schemas.openxmlformats.org/officeDocument/2006/relationships/worksheet" Target="/xl/worksheets/sheet4.xml" Id="Rc7bfb1c111034aef" /><Relationship Type="http://schemas.openxmlformats.org/officeDocument/2006/relationships/worksheet" Target="/xl/worksheets/sheet5.xml" Id="R4a23133073fa4cf7" /><Relationship Type="http://schemas.openxmlformats.org/officeDocument/2006/relationships/worksheet" Target="/xl/worksheets/sheet6.xml" Id="R05e1b402f33e491b" /><Relationship Type="http://schemas.openxmlformats.org/officeDocument/2006/relationships/worksheet" Target="/xl/worksheets/sheet7.xml" Id="Rc879cb2ac28f48a9" /><Relationship Type="http://schemas.openxmlformats.org/officeDocument/2006/relationships/worksheet" Target="/xl/worksheets/sheet8.xml" Id="Rd01a5700d2eb4ed8" /><Relationship Type="http://schemas.openxmlformats.org/officeDocument/2006/relationships/worksheet" Target="/xl/worksheets/sheet9.xml" Id="Rd63b943e9e294a26" /><Relationship Type="http://schemas.openxmlformats.org/officeDocument/2006/relationships/worksheet" Target="/xl/worksheets/sheet10.xml" Id="R4b9add5f9ccc4234" /><Relationship Type="http://schemas.microsoft.com/office/2017/10/relationships/person" Target="/xl/persons/person.xml" Id="R1b91d90b89b24d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e1332adfdb41a3" /><Relationship Type="http://schemas.openxmlformats.org/officeDocument/2006/relationships/chart" Target="/xl/drawings/charts/chart2.xml" Id="R2a767369d6df48b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7144130e364774" /><Relationship Type="http://schemas.openxmlformats.org/officeDocument/2006/relationships/chart" Target="/xl/drawings/charts/chart4.xml" Id="R6634c269678d4d4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5a8e3f9772447e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16f2d29ee6946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逐月 2.0E 占總用量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台北2.0E比例</c:v>
          </c:tx>
          <c:marker>
            <c:symbol val="none"/>
          </c:marker>
          <c:cat>
            <c:strRef>
              <c:f>'雙北逐月2.0E比例'!$A$7:$A$21</c:f>
              <c:strCache>
                <c:ptCount val="0"/>
              </c:strCache>
            </c:strRef>
          </c:cat>
          <c:val>
            <c:numRef>
              <c:f>'雙北逐月2.0E比例'!$D$7:$D$21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新北2.0E比例</c:v>
          </c:tx>
          <c:marker>
            <c:symbol val="none"/>
          </c:marker>
          <c:cat>
            <c:strRef>
              <c:f>'雙北逐月2.0E比例'!$A$7:$A$21</c:f>
              <c:strCache>
                <c:ptCount val="0"/>
              </c:strCache>
            </c:strRef>
          </c:cat>
          <c:val>
            <c:numRef>
              <c:f>'雙北逐月2.0E比例'!$I$7:$I$21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逐月 65 歲以上／敬老愛心占 2.0E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台北65歲以上占2.0E</c:v>
          </c:tx>
          <c:marker>
            <c:symbol val="none"/>
          </c:marker>
          <c:cat>
            <c:strRef>
              <c:f>'雙北逐月2.0E比例'!$A$7:$A$21</c:f>
              <c:strCache>
                <c:ptCount val="0"/>
              </c:strCache>
            </c:strRef>
          </c:cat>
          <c:val>
            <c:numRef>
              <c:f>'雙北逐月2.0E比例'!$F$7:$F$21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新北65歲以上占2.0E</c:v>
          </c:tx>
          <c:marker>
            <c:symbol val="none"/>
          </c:marker>
          <c:cat>
            <c:strRef>
              <c:f>'雙北逐月2.0E比例'!$A$7:$A$21</c:f>
              <c:strCache>
                <c:ptCount val="0"/>
              </c:strCache>
            </c:strRef>
          </c:cat>
          <c:val>
            <c:numRef>
              <c:f>'雙北逐月2.0E比例'!$K$7:$K$21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月別平假日租借次數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平日</c:v>
          </c:tx>
          <c:marker>
            <c:symbol val="none"/>
          </c:marker>
          <c:cat>
            <c:strRef>
              <c:f>'性別年齡總覽'!$L$4:$L$17</c:f>
              <c:strCache>
                <c:ptCount val="0"/>
              </c:strCache>
            </c:strRef>
          </c:cat>
          <c:val>
            <c:numRef>
              <c:f>'性別年齡總覽'!$M$4:$M$17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假日</c:v>
          </c:tx>
          <c:marker>
            <c:symbol val="none"/>
          </c:marker>
          <c:cat>
            <c:strRef>
              <c:f>'性別年齡總覽'!$L$4:$L$17</c:f>
              <c:strCache>
                <c:ptCount val="0"/>
              </c:strCache>
            </c:strRef>
          </c:cat>
          <c:val>
            <c:numRef>
              <c:f>'性別年齡總覽'!$N$4:$N$17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已知性別年齡分布（期間合計）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平日男</c:v>
          </c:tx>
          <c:cat>
            <c:strRef>
              <c:f>'性別年齡總覽'!$A$25:$A$33</c:f>
              <c:strCache>
                <c:ptCount val="0"/>
              </c:strCache>
            </c:strRef>
          </c:cat>
          <c:val>
            <c:numRef>
              <c:f>'性別年齡總覽'!$B$25:$B$33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平日女</c:v>
          </c:tx>
          <c:cat>
            <c:strRef>
              <c:f>'性別年齡總覽'!$A$25:$A$33</c:f>
              <c:strCache>
                <c:ptCount val="0"/>
              </c:strCache>
            </c:strRef>
          </c:cat>
          <c:val>
            <c:numRef>
              <c:f>'性別年齡總覽'!$C$25:$C$33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假日男</c:v>
          </c:tx>
          <c:cat>
            <c:strRef>
              <c:f>'性別年齡總覽'!$A$25:$A$33</c:f>
              <c:strCache>
                <c:ptCount val="0"/>
              </c:strCache>
            </c:strRef>
          </c:cat>
          <c:val>
            <c:numRef>
              <c:f>'性別年齡總覽'!$D$25:$D$33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假日女</c:v>
          </c:tx>
          <c:cat>
            <c:strRef>
              <c:f>'性別年齡總覽'!$A$25:$A$33</c:f>
              <c:strCache>
                <c:ptCount val="0"/>
              </c:strCache>
            </c:strRef>
          </c:cat>
          <c:val>
            <c:numRef>
              <c:f>'性別年齡總覽'!$E$25:$E$33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65歲以上占2.0E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台北65歲以上占2.0E</c:v>
          </c:tx>
          <c:marker>
            <c:symbol val="none"/>
          </c:marker>
          <c:cat>
            <c:strRef>
              <c:f>'65歲以上'!$A$7:$A$20</c:f>
              <c:strCache>
                <c:ptCount val="0"/>
              </c:strCache>
            </c:strRef>
          </c:cat>
          <c:val>
            <c:numRef>
              <c:f>'65歲以上'!$F$7:$F$20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新北65歲以上占2.0E</c:v>
          </c:tx>
          <c:marker>
            <c:symbol val="none"/>
          </c:marker>
          <c:cat>
            <c:strRef>
              <c:f>'65歲以上'!$A$7:$A$20</c:f>
              <c:strCache>
                <c:ptCount val="0"/>
              </c:strCache>
            </c:strRef>
          </c:cat>
          <c:val>
            <c:numRef>
              <c:f>'65歲以上'!$K$7:$K$20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敬老卡占2.0E（2026-09/1–9/27）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敬老卡占2.0E</c:v>
          </c:tx>
          <c:cat>
            <c:strRef>
              <c:f>'敬老卡比例'!$A$14:$A$15</c:f>
              <c:strCache>
                <c:ptCount val="0"/>
              </c:strCache>
            </c:strRef>
          </c:cat>
          <c:val>
            <c:numRef>
              <c:f>'敬老卡比例'!$B$14:$B$15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e1332adfdb41a3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767369d6df48b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22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7144130e36477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10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34c269678d4d4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a8e3f9772447e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f2d29ee6946e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B5BF422-2288-4EC8-87B5-C775713B5A69}"/>
</xltc:personList>
</file>

<file path=xl/tables/table1.xml><?xml version="1.0" encoding="utf-8"?>
<x:table xmlns:x="http://schemas.openxmlformats.org/spreadsheetml/2006/main" id="3" name="ShuangbeiDailySummary" displayName="ShuangbeiDailySummary" ref="A6:G463" headerRowCount="1" totalsRowCount="0" totalsRowShown="0">
  <x:autoFilter ref="A6:G463"/>
  <x:tableColumns count="7">
    <x:tableColumn id="1" name="日期"/>
    <x:tableColumn id="2" name="台北總用量"/>
    <x:tableColumn id="3" name="新北總用量"/>
    <x:tableColumn id="4" name="雙北總用量"/>
    <x:tableColumn id="5" name="台北2.0E敬老愛心次數"/>
    <x:tableColumn id="6" name="新北2.0E敬老愛心次數"/>
    <x:tableColumn id="7" name="雙北2.0E敬老愛心次數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TaipeiDailyReport" displayName="TaipeiDailyReport" ref="A6:G463" headerRowCount="1" totalsRowCount="0" totalsRowShown="0">
  <x:autoFilter ref="A6:G463"/>
  <x:tableColumns count="7">
    <x:tableColumn id="1" name="日期"/>
    <x:tableColumn id="2" name="總用量"/>
    <x:tableColumn id="3" name="2.0次數"/>
    <x:tableColumn id="4" name="2.0E次數"/>
    <x:tableColumn id="5" name="2.0合約車輛數"/>
    <x:tableColumn id="6" name="2.0E合約車輛數"/>
    <x:tableColumn id="7" name="2.0E敬老愛心卡使用次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NewTaipeiDailyReport" displayName="NewTaipeiDailyReport" ref="A6:G463" headerRowCount="1" totalsRowCount="0" totalsRowShown="0">
  <x:autoFilter ref="A6:G463"/>
  <x:tableColumns count="7">
    <x:tableColumn id="1" name="日期"/>
    <x:tableColumn id="2" name="總用量"/>
    <x:tableColumn id="3" name="2.0次數"/>
    <x:tableColumn id="4" name="2.0E次數"/>
    <x:tableColumn id="5" name="2.0合約車輛數"/>
    <x:tableColumn id="6" name="2.0E合約車輛數"/>
    <x:tableColumn id="7" name="2.0E敬老愛心卡使用次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graphicDetail" displayName="DemographicDetail" ref="A6:K286" headerRowCount="1" totalsRowCount="0" totalsRowShown="0">
  <x:autoFilter ref="A6:K286"/>
  <x:tableColumns count="11">
    <x:tableColumn id="1" name="月份"/>
    <x:tableColumn id="2" name="平假日"/>
    <x:tableColumn id="3" name="年齡"/>
    <x:tableColumn id="4" name="男租借次數"/>
    <x:tableColumn id="5" name="女租借次數"/>
    <x:tableColumn id="6" name="性別未投保或資料有誤"/>
    <x:tableColumn id="7" name="合計"/>
    <x:tableColumn id="8" name="男性年齡分布"/>
    <x:tableColumn id="9" name="女性年齡分布"/>
    <x:tableColumn id="10" name="未知性別年齡分布"/>
    <x:tableColumn id="11" name="年齡帶占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ilySourceAndQA" displayName="DailySourceAndQA" ref="A3:D18" headerRowCount="1" totalsRowCount="0" totalsRowShown="0">
  <x:tableColumns count="4">
    <x:tableColumn id="1" name="城市／項目"/>
    <x:tableColumn id="2" name="說明"/>
    <x:tableColumn id="3" name="結果"/>
    <x:tableColumn id="4" name="檢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ilyDownloadedFiles" displayName="DailyDownloadedFiles" ref="A21:G81" headerRowCount="1" totalsRowCount="0" totalsRowShown="0">
  <x:tableColumns count="7">
    <x:tableColumn id="1" name="城市"/>
    <x:tableColumn id="2" name="系統"/>
    <x:tableColumn id="3" name="月份"/>
    <x:tableColumn id="4" name="Report API 原始 JSON"/>
    <x:tableColumn id="5" name="資料日數"/>
    <x:tableColumn id="6" name="首日"/>
    <x:tableColumn id="7" name="末日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emographicExtractionChecks" displayName="DemographicExtractionChecks" ref="A20:G48" headerRowCount="1" totalsRowCount="0" totalsRowShown="0">
  <x:tableColumns count="7">
    <x:tableColumn id="1" name="月份"/>
    <x:tableColumn id="2" name="平假日"/>
    <x:tableColumn id="3" name="男合計"/>
    <x:tableColumn id="4" name="女合計"/>
    <x:tableColumn id="5" name="未知性別合計"/>
    <x:tableColumn id="6" name="交叉表合計"/>
    <x:tableColumn id="7" name="檢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6" dT="2026-09-04T05:41:03.432" personId="{EB5BF422-2288-4EC8-87B5-C775713B5A69}" id="{D471A000-EBA0-4257-8F51-7EDD1D399996}">
    <xltc:text>雙北敬老愛心次數為台北與新北兩張城市表的 2.0E 敬老使用次數合計；任一城市尚無資料時留白。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6" dT="2026-09-04T05:41:03.182" personId="{EB5BF422-2288-4EC8-87B5-C775713B5A69}" id="{7639E3C3-449E-4153-ACAE-D3263CF2A3B0}">
    <xltc:text>Report 的 2.0E 日報沒有「合約車輛數」欄；此欄依需求名稱呈現，數值取自平台的「上線車輛數」。</xltc:text>
  </xltc:threadedComment>
  <xltc:threadedComment ref="G6" dT="2026-09-04T05:41:03.183" personId="{EB5BF422-2288-4EC8-87B5-C775713B5A69}" id="{91DCA1D1-7D58-48D6-A7A2-893B00474F25}">
    <xltc:text>來源為 Report 2.0E 日報的「敬老使用次數」；不是「敬老使用卡片數」。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F6" dT="2026-09-04T05:41:03.28" personId="{EB5BF422-2288-4EC8-87B5-C775713B5A69}" id="{575CB436-EE18-4173-8A41-F0B277A022C3}">
    <xltc:text>Report 的 2.0E 日報沒有「合約車輛數」欄；此欄依需求名稱呈現，數值取自平台的「上線車輛數」。</xltc:text>
  </xltc:threadedComment>
  <xltc:threadedComment ref="G6" dT="2026-09-04T05:41:03.28" personId="{EB5BF422-2288-4EC8-87B5-C775713B5A69}" id="{148B728A-6F4A-4A9B-9180-A32FBA4397D7}">
    <xltc:text>來源為 Report 2.0E 日報的「敬老使用次數」；不是「敬老使用卡片數」。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4" dT="2026-09-04T05:41:05.713" personId="{EB5BF422-2288-4EC8-87B5-C775713B5A69}" id="{67ACDEB9-8C13-4F74-A769-F8EE432F6259}">
    <xltc:text>來源網址：https://youbike-report-api-421613424541.asia-east1.run.app/report/gcpfun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5" dT="2026-09-04T05:41:05.729" personId="{EB5BF422-2288-4EC8-87B5-C775713B5A69}" id="{B0DE0E48-E4D2-4639-866F-D224CEF8AC9F}">
    <xltc:text>來源網址：https://datastudio.google.com/reporting/47a02eaf-102a-452c-922f-97a75e5a27e5/page/8GclC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aeee49684a147b6" /><Relationship Type="http://schemas.openxmlformats.org/officeDocument/2006/relationships/vmlDrawing" Target="/xl/drawings/vmldrawing.vml" Id="R0ffd3daf52a745c5" /><Relationship Type="http://schemas.microsoft.com/office/2017/10/relationships/threadedComment" Target="/xl/threadedcomments/threadedcomment.xml" Id="Rcd30a801c5704b33" /><Relationship Type="http://schemas.openxmlformats.org/officeDocument/2006/relationships/table" Target="/xl/tables/table1.xml" Id="Re810c96b9d6c4d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d4d7526050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cb6a8578a6cb451d" /><Relationship Type="http://schemas.openxmlformats.org/officeDocument/2006/relationships/vmlDrawing" Target="/xl/drawings/vmldrawing2.vml" Id="R746400de8b844336" /><Relationship Type="http://schemas.microsoft.com/office/2017/10/relationships/threadedComment" Target="/xl/threadedcomments/threadedcomment2.xml" Id="Rcb16009c3b064108" /><Relationship Type="http://schemas.openxmlformats.org/officeDocument/2006/relationships/table" Target="/xl/tables/table2.xml" Id="R2ae5ba95ca25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e70fcc895ba84c0b" /><Relationship Type="http://schemas.openxmlformats.org/officeDocument/2006/relationships/vmlDrawing" Target="/xl/drawings/vmldrawing3.vml" Id="R4109ddb1a8734327" /><Relationship Type="http://schemas.microsoft.com/office/2017/10/relationships/threadedComment" Target="/xl/threadedcomments/threadedcomment3.xml" Id="R1eb45cdc4dbe4862" /><Relationship Type="http://schemas.openxmlformats.org/officeDocument/2006/relationships/table" Target="/xl/tables/table3.xml" Id="R59db4593656a49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27a900627bc40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41562602b44f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4.xml" Id="R5a0aa8e691e04e40" /><Relationship Type="http://schemas.openxmlformats.org/officeDocument/2006/relationships/vmlDrawing" Target="/xl/drawings/vmldrawing4.vml" Id="Rb8f36e4ad5134d34" /><Relationship Type="http://schemas.microsoft.com/office/2017/10/relationships/threadedComment" Target="/xl/threadedcomments/threadedcomment4.xml" Id="Rf1f50fea4a144183" /><Relationship Type="http://schemas.openxmlformats.org/officeDocument/2006/relationships/table" Target="/xl/tables/table5.xml" Id="R3099a2d65f4a4d3e" /><Relationship Type="http://schemas.openxmlformats.org/officeDocument/2006/relationships/table" Target="/xl/tables/table6.xml" Id="R3ebc222a80f443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5.xml" Id="Re08a34e6225c472a" /><Relationship Type="http://schemas.openxmlformats.org/officeDocument/2006/relationships/vmlDrawing" Target="/xl/drawings/vmldrawing5.vml" Id="Rb840ac3a31cc4cec" /><Relationship Type="http://schemas.microsoft.com/office/2017/10/relationships/threadedComment" Target="/xl/threadedcomments/threadedcomment5.xml" Id="Rfc06c8fb57be4cf7" /><Relationship Type="http://schemas.openxmlformats.org/officeDocument/2006/relationships/table" Target="/xl/tables/table7.xml" Id="R661229e3ec2042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6f395a292d1d4a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03391fd383944ad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2" customHeight="1">
      <x:c r="A1" s="5" t="str">
        <x:v>雙北每日營運與 2.0E 敬老愛心使用彙總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9" t="str">
        <x:v>期間 2025-07-01～2026-09-30；台北與新北可得至 2026-09-27，9/28–9/30 保留列並留白。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6" customHeight="1">
      <x:c r="A4" s="16" t="str">
        <x:v>雙北完整天數</x:v>
      </x:c>
      <x:c r="B4" s="20" t="n">
        <x:v>454</x:v>
      </x:c>
      <x:c r="C4" s="18" t="str">
        <x:v>共同最新資料日</x:v>
      </x:c>
      <x:c r="D4" s="21" t="n">
        <x:v>46292</x:v>
      </x:c>
      <x:c r="E4" s="18" t="str">
        <x:v>未有完整資料日</x:v>
      </x:c>
      <x:c r="F4" s="22" t="n">
        <x:v>3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6" customHeight="1">
      <x:c r="A6" s="58" t="str">
        <x:v>日期</x:v>
      </x:c>
      <x:c r="B6" s="59" t="str">
        <x:v>台北總用量</x:v>
      </x:c>
      <x:c r="C6" s="59" t="str">
        <x:v>新北總用量</x:v>
      </x:c>
      <x:c r="D6" s="59" t="str">
        <x:v>雙北總用量</x:v>
      </x:c>
      <x:c r="E6" s="59" t="str">
        <x:v>台北2.0E敬老愛心次數</x:v>
      </x:c>
      <x:c r="F6" s="59" t="str">
        <x:v>新北2.0E敬老愛心次數</x:v>
      </x:c>
      <x:c r="G6" s="60" t="str">
        <x:v>雙北2.0E敬老愛心次數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41" t="n">
        <x:f>'台北每日數據'!A7</x:f>
        <x:v>45839</x:v>
      </x:c>
      <x:c r="B7" s="42" t="n">
        <x:f>IF(COUNT('台北每日數據'!C7:D7)=2,'台北每日數據'!B7,"")</x:f>
        <x:v>256372</x:v>
      </x:c>
      <x:c r="C7" s="42" t="n">
        <x:f>IF(COUNT('新北每日數據'!C7:D7)=2,'新北每日數據'!B7,"")</x:f>
        <x:v>130139</x:v>
      </x:c>
      <x:c r="D7" s="42" t="n">
        <x:f>IF(COUNT(B7:C7)=2,SUM(B7:C7),"")</x:f>
        <x:v>386511</x:v>
      </x:c>
      <x:c r="E7" s="42" t="n">
        <x:f>IF(COUNT('台北每日數據'!C7:D7)=2,'台北每日數據'!G7,"")</x:f>
        <x:v>951</x:v>
      </x:c>
      <x:c r="F7" s="42" t="n">
        <x:f>IF(COUNT('新北每日數據'!C7:D7)=2,'新北每日數據'!G7,"")</x:f>
        <x:v>649</x:v>
      </x:c>
      <x:c r="G7" s="42" t="n">
        <x:f>IF(COUNT(E7:F7)=2,SUM(E7:F7),"")</x:f>
        <x:v>1600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43" t="n">
        <x:f>'台北每日數據'!A8</x:f>
        <x:v>45840</x:v>
      </x:c>
      <x:c r="B8" s="44" t="n">
        <x:f>IF(COUNT('台北每日數據'!C8:D8)=2,'台北每日數據'!B8,"")</x:f>
        <x:v>255941</x:v>
      </x:c>
      <x:c r="C8" s="44" t="n">
        <x:f>IF(COUNT('新北每日數據'!C8:D8)=2,'新北每日數據'!B8,"")</x:f>
        <x:v>129427</x:v>
      </x:c>
      <x:c r="D8" s="44" t="n">
        <x:f>IF(COUNT(B8:C8)=2,SUM(B8:C8),"")</x:f>
        <x:v>385368</x:v>
      </x:c>
      <x:c r="E8" s="44" t="n">
        <x:f>IF(COUNT('台北每日數據'!C8:D8)=2,'台北每日數據'!G8,"")</x:f>
        <x:v>971</x:v>
      </x:c>
      <x:c r="F8" s="44" t="n">
        <x:f>IF(COUNT('新北每日數據'!C8:D8)=2,'新北每日數據'!G8,"")</x:f>
        <x:v>673</x:v>
      </x:c>
      <x:c r="G8" s="44" t="n">
        <x:f>IF(COUNT(E8:F8)=2,SUM(E8:F8),"")</x:f>
        <x:v>1644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43" t="n">
        <x:f>'台北每日數據'!A9</x:f>
        <x:v>45841</x:v>
      </x:c>
      <x:c r="B9" s="44" t="n">
        <x:f>IF(COUNT('台北每日數據'!C9:D9)=2,'台北每日數據'!B9,"")</x:f>
        <x:v>254849</x:v>
      </x:c>
      <x:c r="C9" s="44" t="n">
        <x:f>IF(COUNT('新北每日數據'!C9:D9)=2,'新北每日數據'!B9,"")</x:f>
        <x:v>129899</x:v>
      </x:c>
      <x:c r="D9" s="44" t="n">
        <x:f>IF(COUNT(B9:C9)=2,SUM(B9:C9),"")</x:f>
        <x:v>384748</x:v>
      </x:c>
      <x:c r="E9" s="44" t="n">
        <x:f>IF(COUNT('台北每日數據'!C9:D9)=2,'台北每日數據'!G9,"")</x:f>
        <x:v>959</x:v>
      </x:c>
      <x:c r="F9" s="44" t="n">
        <x:f>IF(COUNT('新北每日數據'!C9:D9)=2,'新北每日數據'!G9,"")</x:f>
        <x:v>709</x:v>
      </x:c>
      <x:c r="G9" s="44" t="n">
        <x:f>IF(COUNT(E9:F9)=2,SUM(E9:F9),"")</x:f>
        <x:v>1668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43" t="n">
        <x:f>'台北每日數據'!A10</x:f>
        <x:v>45842</x:v>
      </x:c>
      <x:c r="B10" s="44" t="n">
        <x:f>IF(COUNT('台北每日數據'!C10:D10)=2,'台北每日數據'!B10,"")</x:f>
        <x:v>261087</x:v>
      </x:c>
      <x:c r="C10" s="44" t="n">
        <x:f>IF(COUNT('新北每日數據'!C10:D10)=2,'新北每日數據'!B10,"")</x:f>
        <x:v>134186</x:v>
      </x:c>
      <x:c r="D10" s="44" t="n">
        <x:f>IF(COUNT(B10:C10)=2,SUM(B10:C10),"")</x:f>
        <x:v>395273</x:v>
      </x:c>
      <x:c r="E10" s="44" t="n">
        <x:f>IF(COUNT('台北每日數據'!C10:D10)=2,'台北每日數據'!G10,"")</x:f>
        <x:v>979</x:v>
      </x:c>
      <x:c r="F10" s="44" t="n">
        <x:f>IF(COUNT('新北每日數據'!C10:D10)=2,'新北每日數據'!G10,"")</x:f>
        <x:v>685</x:v>
      </x:c>
      <x:c r="G10" s="44" t="n">
        <x:f>IF(COUNT(E10:F10)=2,SUM(E10:F10),"")</x:f>
        <x:v>1664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43" t="n">
        <x:f>'台北每日數據'!A11</x:f>
        <x:v>45843</x:v>
      </x:c>
      <x:c r="B11" s="44" t="n">
        <x:f>IF(COUNT('台北每日數據'!C11:D11)=2,'台北每日數據'!B11,"")</x:f>
        <x:v>220629</x:v>
      </x:c>
      <x:c r="C11" s="44" t="n">
        <x:f>IF(COUNT('新北每日數據'!C11:D11)=2,'新北每日數據'!B11,"")</x:f>
        <x:v>122980</x:v>
      </x:c>
      <x:c r="D11" s="44" t="n">
        <x:f>IF(COUNT(B11:C11)=2,SUM(B11:C11),"")</x:f>
        <x:v>343609</x:v>
      </x:c>
      <x:c r="E11" s="44" t="n">
        <x:f>IF(COUNT('台北每日數據'!C11:D11)=2,'台北每日數據'!G11,"")</x:f>
        <x:v>1045</x:v>
      </x:c>
      <x:c r="F11" s="44" t="n">
        <x:f>IF(COUNT('新北每日數據'!C11:D11)=2,'新北每日數據'!G11,"")</x:f>
        <x:v>684</x:v>
      </x:c>
      <x:c r="G11" s="44" t="n">
        <x:f>IF(COUNT(E11:F11)=2,SUM(E11:F11),"")</x:f>
        <x:v>1729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43" t="n">
        <x:f>'台北每日數據'!A12</x:f>
        <x:v>45844</x:v>
      </x:c>
      <x:c r="B12" s="44" t="n">
        <x:f>IF(COUNT('台北每日數據'!C12:D12)=2,'台北每日數據'!B12,"")</x:f>
        <x:v>170783</x:v>
      </x:c>
      <x:c r="C12" s="44" t="n">
        <x:f>IF(COUNT('新北每日數據'!C12:D12)=2,'新北每日數據'!B12,"")</x:f>
        <x:v>97329</x:v>
      </x:c>
      <x:c r="D12" s="44" t="n">
        <x:f>IF(COUNT(B12:C12)=2,SUM(B12:C12),"")</x:f>
        <x:v>268112</x:v>
      </x:c>
      <x:c r="E12" s="44" t="n">
        <x:f>IF(COUNT('台北每日數據'!C12:D12)=2,'台北每日數據'!G12,"")</x:f>
        <x:v>775</x:v>
      </x:c>
      <x:c r="F12" s="44" t="n">
        <x:f>IF(COUNT('新北每日數據'!C12:D12)=2,'新北每日數據'!G12,"")</x:f>
        <x:v>619</x:v>
      </x:c>
      <x:c r="G12" s="44" t="n">
        <x:f>IF(COUNT(E12:F12)=2,SUM(E12:F12),"")</x:f>
        <x:v>1394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43" t="n">
        <x:f>'台北每日數據'!A13</x:f>
        <x:v>45845</x:v>
      </x:c>
      <x:c r="B13" s="44" t="n">
        <x:f>IF(COUNT('台北每日數據'!C13:D13)=2,'台北每日數據'!B13,"")</x:f>
        <x:v>157912</x:v>
      </x:c>
      <x:c r="C13" s="44" t="n">
        <x:f>IF(COUNT('新北每日數據'!C13:D13)=2,'新北每日數據'!B13,"")</x:f>
        <x:v>85981</x:v>
      </x:c>
      <x:c r="D13" s="44" t="n">
        <x:f>IF(COUNT(B13:C13)=2,SUM(B13:C13),"")</x:f>
        <x:v>243893</x:v>
      </x:c>
      <x:c r="E13" s="44" t="n">
        <x:f>IF(COUNT('台北每日數據'!C13:D13)=2,'台北每日數據'!G13,"")</x:f>
        <x:v>574</x:v>
      </x:c>
      <x:c r="F13" s="44" t="n">
        <x:f>IF(COUNT('新北每日數據'!C13:D13)=2,'新北每日數據'!G13,"")</x:f>
        <x:v>399</x:v>
      </x:c>
      <x:c r="G13" s="44" t="n">
        <x:f>IF(COUNT(E13:F13)=2,SUM(E13:F13),"")</x:f>
        <x:v>973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43" t="n">
        <x:f>'台北每日數據'!A14</x:f>
        <x:v>45846</x:v>
      </x:c>
      <x:c r="B14" s="44" t="n">
        <x:f>IF(COUNT('台北每日數據'!C14:D14)=2,'台北每日數據'!B14,"")</x:f>
        <x:v>262688</x:v>
      </x:c>
      <x:c r="C14" s="44" t="n">
        <x:f>IF(COUNT('新北每日數據'!C14:D14)=2,'新北每日數據'!B14,"")</x:f>
        <x:v>130645</x:v>
      </x:c>
      <x:c r="D14" s="44" t="n">
        <x:f>IF(COUNT(B14:C14)=2,SUM(B14:C14),"")</x:f>
        <x:v>393333</x:v>
      </x:c>
      <x:c r="E14" s="44" t="n">
        <x:f>IF(COUNT('台北每日數據'!C14:D14)=2,'台北每日數據'!G14,"")</x:f>
        <x:v>1051</x:v>
      </x:c>
      <x:c r="F14" s="44" t="n">
        <x:f>IF(COUNT('新北每日數據'!C14:D14)=2,'新北每日數據'!G14,"")</x:f>
        <x:v>744</x:v>
      </x:c>
      <x:c r="G14" s="44" t="n">
        <x:f>IF(COUNT(E14:F14)=2,SUM(E14:F14),"")</x:f>
        <x:v>1795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43" t="n">
        <x:f>'台北每日數據'!A15</x:f>
        <x:v>45847</x:v>
      </x:c>
      <x:c r="B15" s="44" t="n">
        <x:f>IF(COUNT('台北每日數據'!C15:D15)=2,'台北每日數據'!B15,"")</x:f>
        <x:v>110027</x:v>
      </x:c>
      <x:c r="C15" s="44" t="n">
        <x:f>IF(COUNT('新北每日數據'!C15:D15)=2,'新北每日數據'!B15,"")</x:f>
        <x:v>49845</x:v>
      </x:c>
      <x:c r="D15" s="44" t="n">
        <x:f>IF(COUNT(B15:C15)=2,SUM(B15:C15),"")</x:f>
        <x:v>159872</x:v>
      </x:c>
      <x:c r="E15" s="44" t="n">
        <x:f>IF(COUNT('台北每日數據'!C15:D15)=2,'台北每日數據'!G15,"")</x:f>
        <x:v>371</x:v>
      </x:c>
      <x:c r="F15" s="44" t="n">
        <x:f>IF(COUNT('新北每日數據'!C15:D15)=2,'新北每日數據'!G15,"")</x:f>
        <x:v>239</x:v>
      </x:c>
      <x:c r="G15" s="44" t="n">
        <x:f>IF(COUNT(E15:F15)=2,SUM(E15:F15),"")</x:f>
        <x:v>610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43" t="n">
        <x:f>'台北每日數據'!A16</x:f>
        <x:v>45848</x:v>
      </x:c>
      <x:c r="B16" s="44" t="n">
        <x:f>IF(COUNT('台北每日數據'!C16:D16)=2,'台北每日數據'!B16,"")</x:f>
        <x:v>185333</x:v>
      </x:c>
      <x:c r="C16" s="44" t="n">
        <x:f>IF(COUNT('新北每日數據'!C16:D16)=2,'新北每日數據'!B16,"")</x:f>
        <x:v>82330</x:v>
      </x:c>
      <x:c r="D16" s="44" t="n">
        <x:f>IF(COUNT(B16:C16)=2,SUM(B16:C16),"")</x:f>
        <x:v>267663</x:v>
      </x:c>
      <x:c r="E16" s="44" t="n">
        <x:f>IF(COUNT('台北每日數據'!C16:D16)=2,'台北每日數據'!G16,"")</x:f>
        <x:v>698</x:v>
      </x:c>
      <x:c r="F16" s="44" t="n">
        <x:f>IF(COUNT('新北每日數據'!C16:D16)=2,'新北每日數據'!G16,"")</x:f>
        <x:v>410</x:v>
      </x:c>
      <x:c r="G16" s="44" t="n">
        <x:f>IF(COUNT(E16:F16)=2,SUM(E16:F16),"")</x:f>
        <x:v>1108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43" t="n">
        <x:f>'台北每日數據'!A17</x:f>
        <x:v>45849</x:v>
      </x:c>
      <x:c r="B17" s="44" t="n">
        <x:f>IF(COUNT('台北每日數據'!C17:D17)=2,'台北每日數據'!B17,"")</x:f>
        <x:v>244826</x:v>
      </x:c>
      <x:c r="C17" s="44" t="n">
        <x:f>IF(COUNT('新北每日數據'!C17:D17)=2,'新北每日數據'!B17,"")</x:f>
        <x:v>118614</x:v>
      </x:c>
      <x:c r="D17" s="44" t="n">
        <x:f>IF(COUNT(B17:C17)=2,SUM(B17:C17),"")</x:f>
        <x:v>363440</x:v>
      </x:c>
      <x:c r="E17" s="44" t="n">
        <x:f>IF(COUNT('台北每日數據'!C17:D17)=2,'台北每日數據'!G17,"")</x:f>
        <x:v>1015</x:v>
      </x:c>
      <x:c r="F17" s="44" t="n">
        <x:f>IF(COUNT('新北每日數據'!C17:D17)=2,'新北每日數據'!G17,"")</x:f>
        <x:v>699</x:v>
      </x:c>
      <x:c r="G17" s="44" t="n">
        <x:f>IF(COUNT(E17:F17)=2,SUM(E17:F17),"")</x:f>
        <x:v>1714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43" t="n">
        <x:f>'台北每日數據'!A18</x:f>
        <x:v>45850</x:v>
      </x:c>
      <x:c r="B18" s="44" t="n">
        <x:f>IF(COUNT('台北每日數據'!C18:D18)=2,'台北每日數據'!B18,"")</x:f>
        <x:v>163632</x:v>
      </x:c>
      <x:c r="C18" s="44" t="n">
        <x:f>IF(COUNT('新北每日數據'!C18:D18)=2,'新北每日數據'!B18,"")</x:f>
        <x:v>102822</x:v>
      </x:c>
      <x:c r="D18" s="44" t="n">
        <x:f>IF(COUNT(B18:C18)=2,SUM(B18:C18),"")</x:f>
        <x:v>266454</x:v>
      </x:c>
      <x:c r="E18" s="44" t="n">
        <x:f>IF(COUNT('台北每日數據'!C18:D18)=2,'台北每日數據'!G18,"")</x:f>
        <x:v>930</x:v>
      </x:c>
      <x:c r="F18" s="44" t="n">
        <x:f>IF(COUNT('新北每日數據'!C18:D18)=2,'新北每日數據'!G18,"")</x:f>
        <x:v>669</x:v>
      </x:c>
      <x:c r="G18" s="44" t="n">
        <x:f>IF(COUNT(E18:F18)=2,SUM(E18:F18),"")</x:f>
        <x:v>1599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43" t="n">
        <x:f>'台北每日數據'!A19</x:f>
        <x:v>45851</x:v>
      </x:c>
      <x:c r="B19" s="44" t="n">
        <x:f>IF(COUNT('台北每日數據'!C19:D19)=2,'台北每日數據'!B19,"")</x:f>
        <x:v>206674</x:v>
      </x:c>
      <x:c r="C19" s="44" t="n">
        <x:f>IF(COUNT('新北每日數據'!C19:D19)=2,'新北每日數據'!B19,"")</x:f>
        <x:v>115856</x:v>
      </x:c>
      <x:c r="D19" s="44" t="n">
        <x:f>IF(COUNT(B19:C19)=2,SUM(B19:C19),"")</x:f>
        <x:v>322530</x:v>
      </x:c>
      <x:c r="E19" s="44" t="n">
        <x:f>IF(COUNT('台北每日數據'!C19:D19)=2,'台北每日數據'!G19,"")</x:f>
        <x:v>1058</x:v>
      </x:c>
      <x:c r="F19" s="44" t="n">
        <x:f>IF(COUNT('新北每日數據'!C19:D19)=2,'新北每日數據'!G19,"")</x:f>
        <x:v>715</x:v>
      </x:c>
      <x:c r="G19" s="44" t="n">
        <x:f>IF(COUNT(E19:F19)=2,SUM(E19:F19),"")</x:f>
        <x:v>1773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43" t="n">
        <x:f>'台北每日數據'!A20</x:f>
        <x:v>45852</x:v>
      </x:c>
      <x:c r="B20" s="44" t="n">
        <x:f>IF(COUNT('台北每日數據'!C20:D20)=2,'台北每日數據'!B20,"")</x:f>
        <x:v>261151</x:v>
      </x:c>
      <x:c r="C20" s="44" t="n">
        <x:f>IF(COUNT('新北每日數據'!C20:D20)=2,'新北每日數據'!B20,"")</x:f>
        <x:v>130698</x:v>
      </x:c>
      <x:c r="D20" s="44" t="n">
        <x:f>IF(COUNT(B20:C20)=2,SUM(B20:C20),"")</x:f>
        <x:v>391849</x:v>
      </x:c>
      <x:c r="E20" s="44" t="n">
        <x:f>IF(COUNT('台北每日數據'!C20:D20)=2,'台北每日數據'!G20,"")</x:f>
        <x:v>1137</x:v>
      </x:c>
      <x:c r="F20" s="44" t="n">
        <x:f>IF(COUNT('新北每日數據'!C20:D20)=2,'新北每日數據'!G20,"")</x:f>
        <x:v>722</x:v>
      </x:c>
      <x:c r="G20" s="44" t="n">
        <x:f>IF(COUNT(E20:F20)=2,SUM(E20:F20),"")</x:f>
        <x:v>1859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43" t="n">
        <x:f>'台北每日數據'!A21</x:f>
        <x:v>45853</x:v>
      </x:c>
      <x:c r="B21" s="44" t="n">
        <x:f>IF(COUNT('台北每日數據'!C21:D21)=2,'台北每日數據'!B21,"")</x:f>
        <x:v>263080</x:v>
      </x:c>
      <x:c r="C21" s="44" t="n">
        <x:f>IF(COUNT('新北每日數據'!C21:D21)=2,'新北每日數據'!B21,"")</x:f>
        <x:v>132026</x:v>
      </x:c>
      <x:c r="D21" s="44" t="n">
        <x:f>IF(COUNT(B21:C21)=2,SUM(B21:C21),"")</x:f>
        <x:v>395106</x:v>
      </x:c>
      <x:c r="E21" s="44" t="n">
        <x:f>IF(COUNT('台北每日數據'!C21:D21)=2,'台北每日數據'!G21,"")</x:f>
        <x:v>1107</x:v>
      </x:c>
      <x:c r="F21" s="44" t="n">
        <x:f>IF(COUNT('新北每日數據'!C21:D21)=2,'新北每日數據'!G21,"")</x:f>
        <x:v>680</x:v>
      </x:c>
      <x:c r="G21" s="44" t="n">
        <x:f>IF(COUNT(E21:F21)=2,SUM(E21:F21),"")</x:f>
        <x:v>1787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3" t="n">
        <x:f>'台北每日數據'!A22</x:f>
        <x:v>45854</x:v>
      </x:c>
      <x:c r="B22" s="44" t="n">
        <x:f>IF(COUNT('台北每日數據'!C22:D22)=2,'台北每日數據'!B22,"")</x:f>
        <x:v>226451</x:v>
      </x:c>
      <x:c r="C22" s="44" t="n">
        <x:f>IF(COUNT('新北每日數據'!C22:D22)=2,'新北每日數據'!B22,"")</x:f>
        <x:v>123460</x:v>
      </x:c>
      <x:c r="D22" s="44" t="n">
        <x:f>IF(COUNT(B22:C22)=2,SUM(B22:C22),"")</x:f>
        <x:v>349911</x:v>
      </x:c>
      <x:c r="E22" s="44" t="n">
        <x:f>IF(COUNT('台北每日數據'!C22:D22)=2,'台北每日數據'!G22,"")</x:f>
        <x:v>813</x:v>
      </x:c>
      <x:c r="F22" s="44" t="n">
        <x:f>IF(COUNT('新北每日數據'!C22:D22)=2,'新北每日數據'!G22,"")</x:f>
        <x:v>625</x:v>
      </x:c>
      <x:c r="G22" s="44" t="n">
        <x:f>IF(COUNT(E22:F22)=2,SUM(E22:F22),"")</x:f>
        <x:v>1438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3" t="n">
        <x:f>'台北每日數據'!A23</x:f>
        <x:v>45855</x:v>
      </x:c>
      <x:c r="B23" s="44" t="n">
        <x:f>IF(COUNT('台北每日數據'!C23:D23)=2,'台北每日數據'!B23,"")</x:f>
        <x:v>259284</x:v>
      </x:c>
      <x:c r="C23" s="44" t="n">
        <x:f>IF(COUNT('新北每日數據'!C23:D23)=2,'新北每日數據'!B23,"")</x:f>
        <x:v>130390</x:v>
      </x:c>
      <x:c r="D23" s="44" t="n">
        <x:f>IF(COUNT(B23:C23)=2,SUM(B23:C23),"")</x:f>
        <x:v>389674</x:v>
      </x:c>
      <x:c r="E23" s="44" t="n">
        <x:f>IF(COUNT('台北每日數據'!C23:D23)=2,'台北每日數據'!G23,"")</x:f>
        <x:v>1037</x:v>
      </x:c>
      <x:c r="F23" s="44" t="n">
        <x:f>IF(COUNT('新北每日數據'!C23:D23)=2,'新北每日數據'!G23,"")</x:f>
        <x:v>647</x:v>
      </x:c>
      <x:c r="G23" s="44" t="n">
        <x:f>IF(COUNT(E23:F23)=2,SUM(E23:F23),"")</x:f>
        <x:v>1684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43" t="n">
        <x:f>'台北每日數據'!A24</x:f>
        <x:v>45856</x:v>
      </x:c>
      <x:c r="B24" s="44" t="n">
        <x:f>IF(COUNT('台北每日數據'!C24:D24)=2,'台北每日數據'!B24,"")</x:f>
        <x:v>246555</x:v>
      </x:c>
      <x:c r="C24" s="44" t="n">
        <x:f>IF(COUNT('新北每日數據'!C24:D24)=2,'新北每日數據'!B24,"")</x:f>
        <x:v>125069</x:v>
      </x:c>
      <x:c r="D24" s="44" t="n">
        <x:f>IF(COUNT(B24:C24)=2,SUM(B24:C24),"")</x:f>
        <x:v>371624</x:v>
      </x:c>
      <x:c r="E24" s="44" t="n">
        <x:f>IF(COUNT('台北每日數據'!C24:D24)=2,'台北每日數據'!G24,"")</x:f>
        <x:v>989</x:v>
      </x:c>
      <x:c r="F24" s="44" t="n">
        <x:f>IF(COUNT('新北每日數據'!C24:D24)=2,'新北每日數據'!G24,"")</x:f>
        <x:v>688</x:v>
      </x:c>
      <x:c r="G24" s="44" t="n">
        <x:f>IF(COUNT(E24:F24)=2,SUM(E24:F24),"")</x:f>
        <x:v>1677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43" t="n">
        <x:f>'台北每日數據'!A25</x:f>
        <x:v>45857</x:v>
      </x:c>
      <x:c r="B25" s="44" t="n">
        <x:f>IF(COUNT('台北每日數據'!C25:D25)=2,'台北每日數據'!B25,"")</x:f>
        <x:v>132638</x:v>
      </x:c>
      <x:c r="C25" s="44" t="n">
        <x:f>IF(COUNT('新北每日數據'!C25:D25)=2,'新北每日數據'!B25,"")</x:f>
        <x:v>86583</x:v>
      </x:c>
      <x:c r="D25" s="44" t="n">
        <x:f>IF(COUNT(B25:C25)=2,SUM(B25:C25),"")</x:f>
        <x:v>219221</x:v>
      </x:c>
      <x:c r="E25" s="44" t="n">
        <x:f>IF(COUNT('台北每日數據'!C25:D25)=2,'台北每日數據'!G25,"")</x:f>
        <x:v>646</x:v>
      </x:c>
      <x:c r="F25" s="44" t="n">
        <x:f>IF(COUNT('新北每日數據'!C25:D25)=2,'新北每日數據'!G25,"")</x:f>
        <x:v>530</x:v>
      </x:c>
      <x:c r="G25" s="44" t="n">
        <x:f>IF(COUNT(E25:F25)=2,SUM(E25:F25),"")</x:f>
        <x:v>1176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43" t="n">
        <x:f>'台北每日數據'!A26</x:f>
        <x:v>45858</x:v>
      </x:c>
      <x:c r="B26" s="44" t="n">
        <x:f>IF(COUNT('台北每日數據'!C26:D26)=2,'台北每日數據'!B26,"")</x:f>
        <x:v>161277</x:v>
      </x:c>
      <x:c r="C26" s="44" t="n">
        <x:f>IF(COUNT('新北每日數據'!C26:D26)=2,'新北每日數據'!B26,"")</x:f>
        <x:v>91277</x:v>
      </x:c>
      <x:c r="D26" s="44" t="n">
        <x:f>IF(COUNT(B26:C26)=2,SUM(B26:C26),"")</x:f>
        <x:v>252554</x:v>
      </x:c>
      <x:c r="E26" s="44" t="n">
        <x:f>IF(COUNT('台北每日數據'!C26:D26)=2,'台北每日數據'!G26,"")</x:f>
        <x:v>902</x:v>
      </x:c>
      <x:c r="F26" s="44" t="n">
        <x:f>IF(COUNT('新北每日數據'!C26:D26)=2,'新北每日數據'!G26,"")</x:f>
        <x:v>678</x:v>
      </x:c>
      <x:c r="G26" s="44" t="n">
        <x:f>IF(COUNT(E26:F26)=2,SUM(E26:F26),"")</x:f>
        <x:v>1580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43" t="n">
        <x:f>'台北每日數據'!A27</x:f>
        <x:v>45859</x:v>
      </x:c>
      <x:c r="B27" s="44" t="n">
        <x:f>IF(COUNT('台北每日數據'!C27:D27)=2,'台北每日數據'!B27,"")</x:f>
        <x:v>137544</x:v>
      </x:c>
      <x:c r="C27" s="44" t="n">
        <x:f>IF(COUNT('新北每日數據'!C27:D27)=2,'新北每日數據'!B27,"")</x:f>
        <x:v>73517</x:v>
      </x:c>
      <x:c r="D27" s="44" t="n">
        <x:f>IF(COUNT(B27:C27)=2,SUM(B27:C27),"")</x:f>
        <x:v>211061</x:v>
      </x:c>
      <x:c r="E27" s="44" t="n">
        <x:f>IF(COUNT('台北每日數據'!C27:D27)=2,'台北每日數據'!G27,"")</x:f>
        <x:v>449</x:v>
      </x:c>
      <x:c r="F27" s="44" t="n">
        <x:f>IF(COUNT('新北每日數據'!C27:D27)=2,'新北每日數據'!G27,"")</x:f>
        <x:v>358</x:v>
      </x:c>
      <x:c r="G27" s="44" t="n">
        <x:f>IF(COUNT(E27:F27)=2,SUM(E27:F27),"")</x:f>
        <x:v>807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43" t="n">
        <x:f>'台北每日數據'!A28</x:f>
        <x:v>45860</x:v>
      </x:c>
      <x:c r="B28" s="44" t="n">
        <x:f>IF(COUNT('台北每日數據'!C28:D28)=2,'台北每日數據'!B28,"")</x:f>
        <x:v>262910</x:v>
      </x:c>
      <x:c r="C28" s="44" t="n">
        <x:f>IF(COUNT('新北每日數據'!C28:D28)=2,'新北每日數據'!B28,"")</x:f>
        <x:v>134739</x:v>
      </x:c>
      <x:c r="D28" s="44" t="n">
        <x:f>IF(COUNT(B28:C28)=2,SUM(B28:C28),"")</x:f>
        <x:v>397649</x:v>
      </x:c>
      <x:c r="E28" s="44" t="n">
        <x:f>IF(COUNT('台北每日數據'!C28:D28)=2,'台北每日數據'!G28,"")</x:f>
        <x:v>1185</x:v>
      </x:c>
      <x:c r="F28" s="44" t="n">
        <x:f>IF(COUNT('新北每日數據'!C28:D28)=2,'新北每日數據'!G28,"")</x:f>
        <x:v>827</x:v>
      </x:c>
      <x:c r="G28" s="44" t="n">
        <x:f>IF(COUNT(E28:F28)=2,SUM(E28:F28),"")</x:f>
        <x:v>2012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43" t="n">
        <x:f>'台北每日數據'!A29</x:f>
        <x:v>45861</x:v>
      </x:c>
      <x:c r="B29" s="44" t="n">
        <x:f>IF(COUNT('台北每日數據'!C29:D29)=2,'台北每日數據'!B29,"")</x:f>
        <x:v>256678</x:v>
      </x:c>
      <x:c r="C29" s="44" t="n">
        <x:f>IF(COUNT('新北每日數據'!C29:D29)=2,'新北每日數據'!B29,"")</x:f>
        <x:v>130545</x:v>
      </x:c>
      <x:c r="D29" s="44" t="n">
        <x:f>IF(COUNT(B29:C29)=2,SUM(B29:C29),"")</x:f>
        <x:v>387223</x:v>
      </x:c>
      <x:c r="E29" s="44" t="n">
        <x:f>IF(COUNT('台北每日數據'!C29:D29)=2,'台北每日數據'!G29,"")</x:f>
        <x:v>1060</x:v>
      </x:c>
      <x:c r="F29" s="44" t="n">
        <x:f>IF(COUNT('新北每日數據'!C29:D29)=2,'新北每日數據'!G29,"")</x:f>
        <x:v>783</x:v>
      </x:c>
      <x:c r="G29" s="44" t="n">
        <x:f>IF(COUNT(E29:F29)=2,SUM(E29:F29),"")</x:f>
        <x:v>1843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43" t="n">
        <x:f>'台北每日數據'!A30</x:f>
        <x:v>45862</x:v>
      </x:c>
      <x:c r="B30" s="44" t="n">
        <x:f>IF(COUNT('台北每日數據'!C30:D30)=2,'台北每日數據'!B30,"")</x:f>
        <x:v>195013</x:v>
      </x:c>
      <x:c r="C30" s="44" t="n">
        <x:f>IF(COUNT('新北每日數據'!C30:D30)=2,'新北每日數據'!B30,"")</x:f>
        <x:v>101927</x:v>
      </x:c>
      <x:c r="D30" s="44" t="n">
        <x:f>IF(COUNT(B30:C30)=2,SUM(B30:C30),"")</x:f>
        <x:v>296940</x:v>
      </x:c>
      <x:c r="E30" s="44" t="n">
        <x:f>IF(COUNT('台北每日數據'!C30:D30)=2,'台北每日數據'!G30,"")</x:f>
        <x:v>835</x:v>
      </x:c>
      <x:c r="F30" s="44" t="n">
        <x:f>IF(COUNT('新北每日數據'!C30:D30)=2,'新北每日數據'!G30,"")</x:f>
        <x:v>597</x:v>
      </x:c>
      <x:c r="G30" s="44" t="n">
        <x:f>IF(COUNT(E30:F30)=2,SUM(E30:F30),"")</x:f>
        <x:v>1432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43" t="n">
        <x:f>'台北每日數據'!A31</x:f>
        <x:v>45863</x:v>
      </x:c>
      <x:c r="B31" s="44" t="n">
        <x:f>IF(COUNT('台北每日數據'!C31:D31)=2,'台北每日數據'!B31,"")</x:f>
        <x:v>95481</x:v>
      </x:c>
      <x:c r="C31" s="44" t="n">
        <x:f>IF(COUNT('新北每日數據'!C31:D31)=2,'新北每日數據'!B31,"")</x:f>
        <x:v>44322</x:v>
      </x:c>
      <x:c r="D31" s="44" t="n">
        <x:f>IF(COUNT(B31:C31)=2,SUM(B31:C31),"")</x:f>
        <x:v>139803</x:v>
      </x:c>
      <x:c r="E31" s="44" t="n">
        <x:f>IF(COUNT('台北每日數據'!C31:D31)=2,'台北每日數據'!G31,"")</x:f>
        <x:v>442</x:v>
      </x:c>
      <x:c r="F31" s="44" t="n">
        <x:f>IF(COUNT('新北每日數據'!C31:D31)=2,'新北每日數據'!G31,"")</x:f>
        <x:v>222</x:v>
      </x:c>
      <x:c r="G31" s="44" t="n">
        <x:f>IF(COUNT(E31:F31)=2,SUM(E31:F31),"")</x:f>
        <x:v>664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43" t="n">
        <x:f>'台北每日數據'!A32</x:f>
        <x:v>45864</x:v>
      </x:c>
      <x:c r="B32" s="44" t="n">
        <x:f>IF(COUNT('台北每日數據'!C32:D32)=2,'台北每日數據'!B32,"")</x:f>
        <x:v>227758</x:v>
      </x:c>
      <x:c r="C32" s="44" t="n">
        <x:f>IF(COUNT('新北每日數據'!C32:D32)=2,'新北每日數據'!B32,"")</x:f>
        <x:v>122078</x:v>
      </x:c>
      <x:c r="D32" s="44" t="n">
        <x:f>IF(COUNT(B32:C32)=2,SUM(B32:C32),"")</x:f>
        <x:v>349836</x:v>
      </x:c>
      <x:c r="E32" s="44" t="n">
        <x:f>IF(COUNT('台北每日數據'!C32:D32)=2,'台北每日數據'!G32,"")</x:f>
        <x:v>1259</x:v>
      </x:c>
      <x:c r="F32" s="44" t="n">
        <x:f>IF(COUNT('新北每日數據'!C32:D32)=2,'新北每日數據'!G32,"")</x:f>
        <x:v>780</x:v>
      </x:c>
      <x:c r="G32" s="44" t="n">
        <x:f>IF(COUNT(E32:F32)=2,SUM(E32:F32),"")</x:f>
        <x:v>2039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43" t="n">
        <x:f>'台北每日數據'!A33</x:f>
        <x:v>45865</x:v>
      </x:c>
      <x:c r="B33" s="44" t="n">
        <x:f>IF(COUNT('台北每日數據'!C33:D33)=2,'台北每日數據'!B33,"")</x:f>
        <x:v>182672</x:v>
      </x:c>
      <x:c r="C33" s="44" t="n">
        <x:f>IF(COUNT('新北每日數據'!C33:D33)=2,'新北每日數據'!B33,"")</x:f>
        <x:v>99360</x:v>
      </x:c>
      <x:c r="D33" s="44" t="n">
        <x:f>IF(COUNT(B33:C33)=2,SUM(B33:C33),"")</x:f>
        <x:v>282032</x:v>
      </x:c>
      <x:c r="E33" s="44" t="n">
        <x:f>IF(COUNT('台北每日數據'!C33:D33)=2,'台北每日數據'!G33,"")</x:f>
        <x:v>1232</x:v>
      </x:c>
      <x:c r="F33" s="44" t="n">
        <x:f>IF(COUNT('新北每日數據'!C33:D33)=2,'新北每日數據'!G33,"")</x:f>
        <x:v>822</x:v>
      </x:c>
      <x:c r="G33" s="44" t="n">
        <x:f>IF(COUNT(E33:F33)=2,SUM(E33:F33),"")</x:f>
        <x:v>2054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43" t="n">
        <x:f>'台北每日數據'!A34</x:f>
        <x:v>45866</x:v>
      </x:c>
      <x:c r="B34" s="44" t="n">
        <x:f>IF(COUNT('台北每日數據'!C34:D34)=2,'台北每日數據'!B34,"")</x:f>
        <x:v>232812</x:v>
      </x:c>
      <x:c r="C34" s="44" t="n">
        <x:f>IF(COUNT('新北每日數據'!C34:D34)=2,'新北每日數據'!B34,"")</x:f>
        <x:v>109371</x:v>
      </x:c>
      <x:c r="D34" s="44" t="n">
        <x:f>IF(COUNT(B34:C34)=2,SUM(B34:C34),"")</x:f>
        <x:v>342183</x:v>
      </x:c>
      <x:c r="E34" s="44" t="n">
        <x:f>IF(COUNT('台北每日數據'!C34:D34)=2,'台北每日數據'!G34,"")</x:f>
        <x:v>1206</x:v>
      </x:c>
      <x:c r="F34" s="44" t="n">
        <x:f>IF(COUNT('新北每日數據'!C34:D34)=2,'新北每日數據'!G34,"")</x:f>
        <x:v>705</x:v>
      </x:c>
      <x:c r="G34" s="44" t="n">
        <x:f>IF(COUNT(E34:F34)=2,SUM(E34:F34),"")</x:f>
        <x:v>1911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43" t="n">
        <x:f>'台北每日數據'!A35</x:f>
        <x:v>45867</x:v>
      </x:c>
      <x:c r="B35" s="44" t="n">
        <x:f>IF(COUNT('台北每日數據'!C35:D35)=2,'台北每日數據'!B35,"")</x:f>
        <x:v>213012</x:v>
      </x:c>
      <x:c r="C35" s="44" t="n">
        <x:f>IF(COUNT('新北每日數據'!C35:D35)=2,'新北每日數據'!B35,"")</x:f>
        <x:v>104316</x:v>
      </x:c>
      <x:c r="D35" s="44" t="n">
        <x:f>IF(COUNT(B35:C35)=2,SUM(B35:C35),"")</x:f>
        <x:v>317328</x:v>
      </x:c>
      <x:c r="E35" s="44" t="n">
        <x:f>IF(COUNT('台北每日數據'!C35:D35)=2,'台北每日數據'!G35,"")</x:f>
        <x:v>1024</x:v>
      </x:c>
      <x:c r="F35" s="44" t="n">
        <x:f>IF(COUNT('新北每日數據'!C35:D35)=2,'新北每日數據'!G35,"")</x:f>
        <x:v>715</x:v>
      </x:c>
      <x:c r="G35" s="44" t="n">
        <x:f>IF(COUNT(E35:F35)=2,SUM(E35:F35),"")</x:f>
        <x:v>1739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43" t="n">
        <x:f>'台北每日數據'!A36</x:f>
        <x:v>45868</x:v>
      </x:c>
      <x:c r="B36" s="44" t="n">
        <x:f>IF(COUNT('台北每日數據'!C36:D36)=2,'台北每日數據'!B36,"")</x:f>
        <x:v>267499</x:v>
      </x:c>
      <x:c r="C36" s="44" t="n">
        <x:f>IF(COUNT('新北每日數據'!C36:D36)=2,'新北每日數據'!B36,"")</x:f>
        <x:v>133414</x:v>
      </x:c>
      <x:c r="D36" s="44" t="n">
        <x:f>IF(COUNT(B36:C36)=2,SUM(B36:C36),"")</x:f>
        <x:v>400913</x:v>
      </x:c>
      <x:c r="E36" s="44" t="n">
        <x:f>IF(COUNT('台北每日數據'!C36:D36)=2,'台北每日數據'!G36,"")</x:f>
        <x:v>1574</x:v>
      </x:c>
      <x:c r="F36" s="44" t="n">
        <x:f>IF(COUNT('新北每日數據'!C36:D36)=2,'新北每日數據'!G36,"")</x:f>
        <x:v>1023</x:v>
      </x:c>
      <x:c r="G36" s="44" t="n">
        <x:f>IF(COUNT(E36:F36)=2,SUM(E36:F36),"")</x:f>
        <x:v>2597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43" t="n">
        <x:f>'台北每日數據'!A37</x:f>
        <x:v>45869</x:v>
      </x:c>
      <x:c r="B37" s="44" t="n">
        <x:f>IF(COUNT('台北每日數據'!C37:D37)=2,'台北每日數據'!B37,"")</x:f>
        <x:v>268065</x:v>
      </x:c>
      <x:c r="C37" s="44" t="n">
        <x:f>IF(COUNT('新北每日數據'!C37:D37)=2,'新北每日數據'!B37,"")</x:f>
        <x:v>133958</x:v>
      </x:c>
      <x:c r="D37" s="44" t="n">
        <x:f>IF(COUNT(B37:C37)=2,SUM(B37:C37),"")</x:f>
        <x:v>402023</x:v>
      </x:c>
      <x:c r="E37" s="44" t="n">
        <x:f>IF(COUNT('台北每日數據'!C37:D37)=2,'台北每日數據'!G37,"")</x:f>
        <x:v>1903</x:v>
      </x:c>
      <x:c r="F37" s="44" t="n">
        <x:f>IF(COUNT('新北每日數據'!C37:D37)=2,'新北每日數據'!G37,"")</x:f>
        <x:v>1209</x:v>
      </x:c>
      <x:c r="G37" s="44" t="n">
        <x:f>IF(COUNT(E37:F37)=2,SUM(E37:F37),"")</x:f>
        <x:v>3112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43" t="n">
        <x:f>'台北每日數據'!A38</x:f>
        <x:v>45870</x:v>
      </x:c>
      <x:c r="B38" s="44" t="n">
        <x:f>IF(COUNT('台北每日數據'!C38:D38)=2,'台北每日數據'!B38,"")</x:f>
        <x:v>200669</x:v>
      </x:c>
      <x:c r="C38" s="44" t="n">
        <x:f>IF(COUNT('新北每日數據'!C38:D38)=2,'新北每日數據'!B38,"")</x:f>
        <x:v>104809</x:v>
      </x:c>
      <x:c r="D38" s="44" t="n">
        <x:f>IF(COUNT(B38:C38)=2,SUM(B38:C38),"")</x:f>
        <x:v>305478</x:v>
      </x:c>
      <x:c r="E38" s="44" t="n">
        <x:f>IF(COUNT('台北每日數據'!C38:D38)=2,'台北每日數據'!G38,"")</x:f>
        <x:v>876</x:v>
      </x:c>
      <x:c r="F38" s="44" t="n">
        <x:f>IF(COUNT('新北每日數據'!C38:D38)=2,'新北每日數據'!G38,"")</x:f>
        <x:v>552</x:v>
      </x:c>
      <x:c r="G38" s="44" t="n">
        <x:f>IF(COUNT(E38:F38)=2,SUM(E38:F38),"")</x:f>
        <x:v>1428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43" t="n">
        <x:f>'台北每日數據'!A39</x:f>
        <x:v>45871</x:v>
      </x:c>
      <x:c r="B39" s="44" t="n">
        <x:f>IF(COUNT('台北每日數據'!C39:D39)=2,'台北每日數據'!B39,"")</x:f>
        <x:v>199988</x:v>
      </x:c>
      <x:c r="C39" s="44" t="n">
        <x:f>IF(COUNT('新北每日數據'!C39:D39)=2,'新北每日數據'!B39,"")</x:f>
        <x:v>117970</x:v>
      </x:c>
      <x:c r="D39" s="44" t="n">
        <x:f>IF(COUNT(B39:C39)=2,SUM(B39:C39),"")</x:f>
        <x:v>317958</x:v>
      </x:c>
      <x:c r="E39" s="44" t="n">
        <x:f>IF(COUNT('台北每日數據'!C39:D39)=2,'台北每日數據'!G39,"")</x:f>
        <x:v>934</x:v>
      </x:c>
      <x:c r="F39" s="44" t="n">
        <x:f>IF(COUNT('新北每日數據'!C39:D39)=2,'新北每日數據'!G39,"")</x:f>
        <x:v>704</x:v>
      </x:c>
      <x:c r="G39" s="44" t="n">
        <x:f>IF(COUNT(E39:F39)=2,SUM(E39:F39),"")</x:f>
        <x:v>1638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43" t="n">
        <x:f>'台北每日數據'!A40</x:f>
        <x:v>45872</x:v>
      </x:c>
      <x:c r="B40" s="44" t="n">
        <x:f>IF(COUNT('台北每日數據'!C40:D40)=2,'台北每日數據'!B40,"")</x:f>
        <x:v>200146</x:v>
      </x:c>
      <x:c r="C40" s="44" t="n">
        <x:f>IF(COUNT('新北每日數據'!C40:D40)=2,'新北每日數據'!B40,"")</x:f>
        <x:v>114497</x:v>
      </x:c>
      <x:c r="D40" s="44" t="n">
        <x:f>IF(COUNT(B40:C40)=2,SUM(B40:C40),"")</x:f>
        <x:v>314643</x:v>
      </x:c>
      <x:c r="E40" s="44" t="n">
        <x:f>IF(COUNT('台北每日數據'!C40:D40)=2,'台北每日數據'!G40,"")</x:f>
        <x:v>949</x:v>
      </x:c>
      <x:c r="F40" s="44" t="n">
        <x:f>IF(COUNT('新北每日數據'!C40:D40)=2,'新北每日數據'!G40,"")</x:f>
        <x:v>759</x:v>
      </x:c>
      <x:c r="G40" s="44" t="n">
        <x:f>IF(COUNT(E40:F40)=2,SUM(E40:F40),"")</x:f>
        <x:v>1708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43" t="n">
        <x:f>'台北每日數據'!A41</x:f>
        <x:v>45873</x:v>
      </x:c>
      <x:c r="B41" s="44" t="n">
        <x:f>IF(COUNT('台北每日數據'!C41:D41)=2,'台北每日數據'!B41,"")</x:f>
        <x:v>234099</x:v>
      </x:c>
      <x:c r="C41" s="44" t="n">
        <x:f>IF(COUNT('新北每日數據'!C41:D41)=2,'新北每日數據'!B41,"")</x:f>
        <x:v>121200</x:v>
      </x:c>
      <x:c r="D41" s="44" t="n">
        <x:f>IF(COUNT(B41:C41)=2,SUM(B41:C41),"")</x:f>
        <x:v>355299</x:v>
      </x:c>
      <x:c r="E41" s="44" t="n">
        <x:f>IF(COUNT('台北每日數據'!C41:D41)=2,'台北每日數據'!G41,"")</x:f>
        <x:v>928</x:v>
      </x:c>
      <x:c r="F41" s="44" t="n">
        <x:f>IF(COUNT('新北每日數據'!C41:D41)=2,'新北每日數據'!G41,"")</x:f>
        <x:v>688</x:v>
      </x:c>
      <x:c r="G41" s="44" t="n">
        <x:f>IF(COUNT(E41:F41)=2,SUM(E41:F41),"")</x:f>
        <x:v>1616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43" t="n">
        <x:f>'台北每日數據'!A42</x:f>
        <x:v>45874</x:v>
      </x:c>
      <x:c r="B42" s="44" t="n">
        <x:f>IF(COUNT('台北每日數據'!C42:D42)=2,'台北每日數據'!B42,"")</x:f>
        <x:v>202990</x:v>
      </x:c>
      <x:c r="C42" s="44" t="n">
        <x:f>IF(COUNT('新北每日數據'!C42:D42)=2,'新北每日數據'!B42,"")</x:f>
        <x:v>107573</x:v>
      </x:c>
      <x:c r="D42" s="44" t="n">
        <x:f>IF(COUNT(B42:C42)=2,SUM(B42:C42),"")</x:f>
        <x:v>310563</x:v>
      </x:c>
      <x:c r="E42" s="44" t="n">
        <x:f>IF(COUNT('台北每日數據'!C42:D42)=2,'台北每日數據'!G42,"")</x:f>
        <x:v>748</x:v>
      </x:c>
      <x:c r="F42" s="44" t="n">
        <x:f>IF(COUNT('新北每日數據'!C42:D42)=2,'新北每日數據'!G42,"")</x:f>
        <x:v>550</x:v>
      </x:c>
      <x:c r="G42" s="44" t="n">
        <x:f>IF(COUNT(E42:F42)=2,SUM(E42:F42),"")</x:f>
        <x:v>1298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43" t="n">
        <x:f>'台北每日數據'!A43</x:f>
        <x:v>45875</x:v>
      </x:c>
      <x:c r="B43" s="44" t="n">
        <x:f>IF(COUNT('台北每日數據'!C43:D43)=2,'台北每日數據'!B43,"")</x:f>
        <x:v>269001</x:v>
      </x:c>
      <x:c r="C43" s="44" t="n">
        <x:f>IF(COUNT('新北每日數據'!C43:D43)=2,'新北每日數據'!B43,"")</x:f>
        <x:v>128517</x:v>
      </x:c>
      <x:c r="D43" s="44" t="n">
        <x:f>IF(COUNT(B43:C43)=2,SUM(B43:C43),"")</x:f>
        <x:v>397518</x:v>
      </x:c>
      <x:c r="E43" s="44" t="n">
        <x:f>IF(COUNT('台北每日數據'!C43:D43)=2,'台北每日數據'!G43,"")</x:f>
        <x:v>1055</x:v>
      </x:c>
      <x:c r="F43" s="44" t="n">
        <x:f>IF(COUNT('新北每日數據'!C43:D43)=2,'新北每日數據'!G43,"")</x:f>
        <x:v>708</x:v>
      </x:c>
      <x:c r="G43" s="44" t="n">
        <x:f>IF(COUNT(E43:F43)=2,SUM(E43:F43),"")</x:f>
        <x:v>1763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43" t="n">
        <x:f>'台北每日數據'!A44</x:f>
        <x:v>45876</x:v>
      </x:c>
      <x:c r="B44" s="44" t="n">
        <x:f>IF(COUNT('台北每日數據'!C44:D44)=2,'台北每日數據'!B44,"")</x:f>
        <x:v>273439</x:v>
      </x:c>
      <x:c r="C44" s="44" t="n">
        <x:f>IF(COUNT('新北每日數據'!C44:D44)=2,'新北每日數據'!B44,"")</x:f>
        <x:v>136406</x:v>
      </x:c>
      <x:c r="D44" s="44" t="n">
        <x:f>IF(COUNT(B44:C44)=2,SUM(B44:C44),"")</x:f>
        <x:v>409845</x:v>
      </x:c>
      <x:c r="E44" s="44" t="n">
        <x:f>IF(COUNT('台北每日數據'!C44:D44)=2,'台北每日數據'!G44,"")</x:f>
        <x:v>1076</x:v>
      </x:c>
      <x:c r="F44" s="44" t="n">
        <x:f>IF(COUNT('新北每日數據'!C44:D44)=2,'新北每日數據'!G44,"")</x:f>
        <x:v>771</x:v>
      </x:c>
      <x:c r="G44" s="44" t="n">
        <x:f>IF(COUNT(E44:F44)=2,SUM(E44:F44),"")</x:f>
        <x:v>1847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43" t="n">
        <x:f>'台北每日數據'!A45</x:f>
        <x:v>45877</x:v>
      </x:c>
      <x:c r="B45" s="44" t="n">
        <x:f>IF(COUNT('台北每日數據'!C45:D45)=2,'台北每日數據'!B45,"")</x:f>
        <x:v>273337</x:v>
      </x:c>
      <x:c r="C45" s="44" t="n">
        <x:f>IF(COUNT('新北每日數據'!C45:D45)=2,'新北每日數據'!B45,"")</x:f>
        <x:v>139661</x:v>
      </x:c>
      <x:c r="D45" s="44" t="n">
        <x:f>IF(COUNT(B45:C45)=2,SUM(B45:C45),"")</x:f>
        <x:v>412998</x:v>
      </x:c>
      <x:c r="E45" s="44" t="n">
        <x:f>IF(COUNT('台北每日數據'!C45:D45)=2,'台北每日數據'!G45,"")</x:f>
        <x:v>1198</x:v>
      </x:c>
      <x:c r="F45" s="44" t="n">
        <x:f>IF(COUNT('新北每日數據'!C45:D45)=2,'新北每日數據'!G45,"")</x:f>
        <x:v>848</x:v>
      </x:c>
      <x:c r="G45" s="44" t="n">
        <x:f>IF(COUNT(E45:F45)=2,SUM(E45:F45),"")</x:f>
        <x:v>2046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43" t="n">
        <x:f>'台北每日數據'!A46</x:f>
        <x:v>45878</x:v>
      </x:c>
      <x:c r="B46" s="44" t="n">
        <x:f>IF(COUNT('台北每日數據'!C46:D46)=2,'台北每日數據'!B46,"")</x:f>
        <x:v>216134</x:v>
      </x:c>
      <x:c r="C46" s="44" t="n">
        <x:f>IF(COUNT('新北每日數據'!C46:D46)=2,'新北每日數據'!B46,"")</x:f>
        <x:v>124728</x:v>
      </x:c>
      <x:c r="D46" s="44" t="n">
        <x:f>IF(COUNT(B46:C46)=2,SUM(B46:C46),"")</x:f>
        <x:v>340862</x:v>
      </x:c>
      <x:c r="E46" s="44" t="n">
        <x:f>IF(COUNT('台北每日數據'!C46:D46)=2,'台北每日數據'!G46,"")</x:f>
        <x:v>1095</x:v>
      </x:c>
      <x:c r="F46" s="44" t="n">
        <x:f>IF(COUNT('新北每日數據'!C46:D46)=2,'新北每日數據'!G46,"")</x:f>
        <x:v>852</x:v>
      </x:c>
      <x:c r="G46" s="44" t="n">
        <x:f>IF(COUNT(E46:F46)=2,SUM(E46:F46),"")</x:f>
        <x:v>1947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43" t="n">
        <x:f>'台北每日數據'!A47</x:f>
        <x:v>45879</x:v>
      </x:c>
      <x:c r="B47" s="44" t="n">
        <x:f>IF(COUNT('台北每日數據'!C47:D47)=2,'台北每日數據'!B47,"")</x:f>
        <x:v>181837</x:v>
      </x:c>
      <x:c r="C47" s="44" t="n">
        <x:f>IF(COUNT('新北每日數據'!C47:D47)=2,'新北每日數據'!B47,"")</x:f>
        <x:v>108917</x:v>
      </x:c>
      <x:c r="D47" s="44" t="n">
        <x:f>IF(COUNT(B47:C47)=2,SUM(B47:C47),"")</x:f>
        <x:v>290754</x:v>
      </x:c>
      <x:c r="E47" s="44" t="n">
        <x:f>IF(COUNT('台北每日數據'!C47:D47)=2,'台北每日數據'!G47,"")</x:f>
        <x:v>912</x:v>
      </x:c>
      <x:c r="F47" s="44" t="n">
        <x:f>IF(COUNT('新北每日數據'!C47:D47)=2,'新北每日數據'!G47,"")</x:f>
        <x:v>716</x:v>
      </x:c>
      <x:c r="G47" s="44" t="n">
        <x:f>IF(COUNT(E47:F47)=2,SUM(E47:F47),"")</x:f>
        <x:v>1628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43" t="n">
        <x:f>'台北每日數據'!A48</x:f>
        <x:v>45880</x:v>
      </x:c>
      <x:c r="B48" s="44" t="n">
        <x:f>IF(COUNT('台北每日數據'!C48:D48)=2,'台北每日數據'!B48,"")</x:f>
        <x:v>212494</x:v>
      </x:c>
      <x:c r="C48" s="44" t="n">
        <x:f>IF(COUNT('新北每日數據'!C48:D48)=2,'新北每日數據'!B48,"")</x:f>
        <x:v>122250</x:v>
      </x:c>
      <x:c r="D48" s="44" t="n">
        <x:f>IF(COUNT(B48:C48)=2,SUM(B48:C48),"")</x:f>
        <x:v>334744</x:v>
      </x:c>
      <x:c r="E48" s="44" t="n">
        <x:f>IF(COUNT('台北每日數據'!C48:D48)=2,'台北每日數據'!G48,"")</x:f>
        <x:v>792</x:v>
      </x:c>
      <x:c r="F48" s="44" t="n">
        <x:f>IF(COUNT('新北每日數據'!C48:D48)=2,'新北每日數據'!G48,"")</x:f>
        <x:v>698</x:v>
      </x:c>
      <x:c r="G48" s="44" t="n">
        <x:f>IF(COUNT(E48:F48)=2,SUM(E48:F48),"")</x:f>
        <x:v>1490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43" t="n">
        <x:f>'台北每日數據'!A49</x:f>
        <x:v>45881</x:v>
      </x:c>
      <x:c r="B49" s="44" t="n">
        <x:f>IF(COUNT('台北每日數據'!C49:D49)=2,'台北每日數據'!B49,"")</x:f>
        <x:v>270413</x:v>
      </x:c>
      <x:c r="C49" s="44" t="n">
        <x:f>IF(COUNT('新北每日數據'!C49:D49)=2,'新北每日數據'!B49,"")</x:f>
        <x:v>136051</x:v>
      </x:c>
      <x:c r="D49" s="44" t="n">
        <x:f>IF(COUNT(B49:C49)=2,SUM(B49:C49),"")</x:f>
        <x:v>406464</x:v>
      </x:c>
      <x:c r="E49" s="44" t="n">
        <x:f>IF(COUNT('台北每日數據'!C49:D49)=2,'台北每日數據'!G49,"")</x:f>
        <x:v>1051</x:v>
      </x:c>
      <x:c r="F49" s="44" t="n">
        <x:f>IF(COUNT('新北每日數據'!C49:D49)=2,'新北每日數據'!G49,"")</x:f>
        <x:v>802</x:v>
      </x:c>
      <x:c r="G49" s="44" t="n">
        <x:f>IF(COUNT(E49:F49)=2,SUM(E49:F49),"")</x:f>
        <x:v>1853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43" t="n">
        <x:f>'台北每日數據'!A50</x:f>
        <x:v>45882</x:v>
      </x:c>
      <x:c r="B50" s="44" t="n">
        <x:f>IF(COUNT('台北每日數據'!C50:D50)=2,'台北每日數據'!B50,"")</x:f>
        <x:v>200735</x:v>
      </x:c>
      <x:c r="C50" s="44" t="n">
        <x:f>IF(COUNT('新北每日數據'!C50:D50)=2,'新北每日數據'!B50,"")</x:f>
        <x:v>102859</x:v>
      </x:c>
      <x:c r="D50" s="44" t="n">
        <x:f>IF(COUNT(B50:C50)=2,SUM(B50:C50),"")</x:f>
        <x:v>303594</x:v>
      </x:c>
      <x:c r="E50" s="44" t="n">
        <x:f>IF(COUNT('台北每日數據'!C50:D50)=2,'台北每日數據'!G50,"")</x:f>
        <x:v>739</x:v>
      </x:c>
      <x:c r="F50" s="44" t="n">
        <x:f>IF(COUNT('新北每日數據'!C50:D50)=2,'新北每日數據'!G50,"")</x:f>
        <x:v>538</x:v>
      </x:c>
      <x:c r="G50" s="44" t="n">
        <x:f>IF(COUNT(E50:F50)=2,SUM(E50:F50),"")</x:f>
        <x:v>1277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43" t="n">
        <x:f>'台北每日數據'!A51</x:f>
        <x:v>45883</x:v>
      </x:c>
      <x:c r="B51" s="44" t="n">
        <x:f>IF(COUNT('台北每日數據'!C51:D51)=2,'台北每日數據'!B51,"")</x:f>
        <x:v>270105</x:v>
      </x:c>
      <x:c r="C51" s="44" t="n">
        <x:f>IF(COUNT('新北每日數據'!C51:D51)=2,'新北每日數據'!B51,"")</x:f>
        <x:v>135145</x:v>
      </x:c>
      <x:c r="D51" s="44" t="n">
        <x:f>IF(COUNT(B51:C51)=2,SUM(B51:C51),"")</x:f>
        <x:v>405250</x:v>
      </x:c>
      <x:c r="E51" s="44" t="n">
        <x:f>IF(COUNT('台北每日數據'!C51:D51)=2,'台北每日數據'!G51,"")</x:f>
        <x:v>1063</x:v>
      </x:c>
      <x:c r="F51" s="44" t="n">
        <x:f>IF(COUNT('新北每日數據'!C51:D51)=2,'新北每日數據'!G51,"")</x:f>
        <x:v>786</x:v>
      </x:c>
      <x:c r="G51" s="44" t="n">
        <x:f>IF(COUNT(E51:F51)=2,SUM(E51:F51),"")</x:f>
        <x:v>1849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43" t="n">
        <x:f>'台北每日數據'!A52</x:f>
        <x:v>45884</x:v>
      </x:c>
      <x:c r="B52" s="44" t="n">
        <x:f>IF(COUNT('台北每日數據'!C52:D52)=2,'台北每日數據'!B52,"")</x:f>
        <x:v>277277</x:v>
      </x:c>
      <x:c r="C52" s="44" t="n">
        <x:f>IF(COUNT('新北每日數據'!C52:D52)=2,'新北每日數據'!B52,"")</x:f>
        <x:v>140856</x:v>
      </x:c>
      <x:c r="D52" s="44" t="n">
        <x:f>IF(COUNT(B52:C52)=2,SUM(B52:C52),"")</x:f>
        <x:v>418133</x:v>
      </x:c>
      <x:c r="E52" s="44" t="n">
        <x:f>IF(COUNT('台北每日數據'!C52:D52)=2,'台北每日數據'!G52,"")</x:f>
        <x:v>1159</x:v>
      </x:c>
      <x:c r="F52" s="44" t="n">
        <x:f>IF(COUNT('新北每日數據'!C52:D52)=2,'新北每日數據'!G52,"")</x:f>
        <x:v>856</x:v>
      </x:c>
      <x:c r="G52" s="44" t="n">
        <x:f>IF(COUNT(E52:F52)=2,SUM(E52:F52),"")</x:f>
        <x:v>2015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43" t="n">
        <x:f>'台北每日數據'!A53</x:f>
        <x:v>45885</x:v>
      </x:c>
      <x:c r="B53" s="44" t="n">
        <x:f>IF(COUNT('台北每日數據'!C53:D53)=2,'台北每日數據'!B53,"")</x:f>
        <x:v>226312</x:v>
      </x:c>
      <x:c r="C53" s="44" t="n">
        <x:f>IF(COUNT('新北每日數據'!C53:D53)=2,'新北每日數據'!B53,"")</x:f>
        <x:v>127263</x:v>
      </x:c>
      <x:c r="D53" s="44" t="n">
        <x:f>IF(COUNT(B53:C53)=2,SUM(B53:C53),"")</x:f>
        <x:v>353575</x:v>
      </x:c>
      <x:c r="E53" s="44" t="n">
        <x:f>IF(COUNT('台北每日數據'!C53:D53)=2,'台北每日數據'!G53,"")</x:f>
        <x:v>1137</x:v>
      </x:c>
      <x:c r="F53" s="44" t="n">
        <x:f>IF(COUNT('新北每日數據'!C53:D53)=2,'新北每日數據'!G53,"")</x:f>
        <x:v>827</x:v>
      </x:c>
      <x:c r="G53" s="44" t="n">
        <x:f>IF(COUNT(E53:F53)=2,SUM(E53:F53),"")</x:f>
        <x:v>1964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43" t="n">
        <x:f>'台北每日數據'!A54</x:f>
        <x:v>45886</x:v>
      </x:c>
      <x:c r="B54" s="44" t="n">
        <x:f>IF(COUNT('台北每日數據'!C54:D54)=2,'台北每日數據'!B54,"")</x:f>
        <x:v>204458</x:v>
      </x:c>
      <x:c r="C54" s="44" t="n">
        <x:f>IF(COUNT('新北每日數據'!C54:D54)=2,'新北每日數據'!B54,"")</x:f>
        <x:v>118412</x:v>
      </x:c>
      <x:c r="D54" s="44" t="n">
        <x:f>IF(COUNT(B54:C54)=2,SUM(B54:C54),"")</x:f>
        <x:v>322870</x:v>
      </x:c>
      <x:c r="E54" s="44" t="n">
        <x:f>IF(COUNT('台北每日數據'!C54:D54)=2,'台北每日數據'!G54,"")</x:f>
        <x:v>1043</x:v>
      </x:c>
      <x:c r="F54" s="44" t="n">
        <x:f>IF(COUNT('新北每日數據'!C54:D54)=2,'新北每日數據'!G54,"")</x:f>
        <x:v>772</x:v>
      </x:c>
      <x:c r="G54" s="44" t="n">
        <x:f>IF(COUNT(E54:F54)=2,SUM(E54:F54),"")</x:f>
        <x:v>1815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43" t="n">
        <x:f>'台北每日數據'!A55</x:f>
        <x:v>45887</x:v>
      </x:c>
      <x:c r="B55" s="44" t="n">
        <x:f>IF(COUNT('台北每日數據'!C55:D55)=2,'台北每日數據'!B55,"")</x:f>
        <x:v>243774</x:v>
      </x:c>
      <x:c r="C55" s="44" t="n">
        <x:f>IF(COUNT('新北每日數據'!C55:D55)=2,'新北每日數據'!B55,"")</x:f>
        <x:v>126470</x:v>
      </x:c>
      <x:c r="D55" s="44" t="n">
        <x:f>IF(COUNT(B55:C55)=2,SUM(B55:C55),"")</x:f>
        <x:v>370244</x:v>
      </x:c>
      <x:c r="E55" s="44" t="n">
        <x:f>IF(COUNT('台北每日數據'!C55:D55)=2,'台北每日數據'!G55,"")</x:f>
        <x:v>978</x:v>
      </x:c>
      <x:c r="F55" s="44" t="n">
        <x:f>IF(COUNT('新北每日數據'!C55:D55)=2,'新北每日數據'!G55,"")</x:f>
        <x:v>688</x:v>
      </x:c>
      <x:c r="G55" s="44" t="n">
        <x:f>IF(COUNT(E55:F55)=2,SUM(E55:F55),"")</x:f>
        <x:v>1666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43" t="n">
        <x:f>'台北每日數據'!A56</x:f>
        <x:v>45888</x:v>
      </x:c>
      <x:c r="B56" s="44" t="n">
        <x:f>IF(COUNT('台北每日數據'!C56:D56)=2,'台北每日數據'!B56,"")</x:f>
        <x:v>268612</x:v>
      </x:c>
      <x:c r="C56" s="44" t="n">
        <x:f>IF(COUNT('新北每日數據'!C56:D56)=2,'新北每日數據'!B56,"")</x:f>
        <x:v>136652</x:v>
      </x:c>
      <x:c r="D56" s="44" t="n">
        <x:f>IF(COUNT(B56:C56)=2,SUM(B56:C56),"")</x:f>
        <x:v>405264</x:v>
      </x:c>
      <x:c r="E56" s="44" t="n">
        <x:f>IF(COUNT('台北每日數據'!C56:D56)=2,'台北每日數據'!G56,"")</x:f>
        <x:v>1123</x:v>
      </x:c>
      <x:c r="F56" s="44" t="n">
        <x:f>IF(COUNT('新北每日數據'!C56:D56)=2,'新北每日數據'!G56,"")</x:f>
        <x:v>717</x:v>
      </x:c>
      <x:c r="G56" s="44" t="n">
        <x:f>IF(COUNT(E56:F56)=2,SUM(E56:F56),"")</x:f>
        <x:v>1840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43" t="n">
        <x:f>'台北每日數據'!A57</x:f>
        <x:v>45889</x:v>
      </x:c>
      <x:c r="B57" s="44" t="n">
        <x:f>IF(COUNT('台北每日數據'!C57:D57)=2,'台北每日數據'!B57,"")</x:f>
        <x:v>242724</x:v>
      </x:c>
      <x:c r="C57" s="44" t="n">
        <x:f>IF(COUNT('新北每日數據'!C57:D57)=2,'新北每日數據'!B57,"")</x:f>
        <x:v>124315</x:v>
      </x:c>
      <x:c r="D57" s="44" t="n">
        <x:f>IF(COUNT(B57:C57)=2,SUM(B57:C57),"")</x:f>
        <x:v>367039</x:v>
      </x:c>
      <x:c r="E57" s="44" t="n">
        <x:f>IF(COUNT('台北每日數據'!C57:D57)=2,'台北每日數據'!G57,"")</x:f>
        <x:v>952</x:v>
      </x:c>
      <x:c r="F57" s="44" t="n">
        <x:f>IF(COUNT('新北每日數據'!C57:D57)=2,'新北每日數據'!G57,"")</x:f>
        <x:v>683</x:v>
      </x:c>
      <x:c r="G57" s="44" t="n">
        <x:f>IF(COUNT(E57:F57)=2,SUM(E57:F57),"")</x:f>
        <x:v>1635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43" t="n">
        <x:f>'台北每日數據'!A58</x:f>
        <x:v>45890</x:v>
      </x:c>
      <x:c r="B58" s="44" t="n">
        <x:f>IF(COUNT('台北每日數據'!C58:D58)=2,'台北每日數據'!B58,"")</x:f>
        <x:v>262297</x:v>
      </x:c>
      <x:c r="C58" s="44" t="n">
        <x:f>IF(COUNT('新北每日數據'!C58:D58)=2,'新北每日數據'!B58,"")</x:f>
        <x:v>132816</x:v>
      </x:c>
      <x:c r="D58" s="44" t="n">
        <x:f>IF(COUNT(B58:C58)=2,SUM(B58:C58),"")</x:f>
        <x:v>395113</x:v>
      </x:c>
      <x:c r="E58" s="44" t="n">
        <x:f>IF(COUNT('台北每日數據'!C58:D58)=2,'台北每日數據'!G58,"")</x:f>
        <x:v>1067</x:v>
      </x:c>
      <x:c r="F58" s="44" t="n">
        <x:f>IF(COUNT('新北每日數據'!C58:D58)=2,'新北每日數據'!G58,"")</x:f>
        <x:v>738</x:v>
      </x:c>
      <x:c r="G58" s="44" t="n">
        <x:f>IF(COUNT(E58:F58)=2,SUM(E58:F58),"")</x:f>
        <x:v>1805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43" t="n">
        <x:f>'台北每日數據'!A59</x:f>
        <x:v>45891</x:v>
      </x:c>
      <x:c r="B59" s="44" t="n">
        <x:f>IF(COUNT('台北每日數據'!C59:D59)=2,'台北每日數據'!B59,"")</x:f>
        <x:v>271960</x:v>
      </x:c>
      <x:c r="C59" s="44" t="n">
        <x:f>IF(COUNT('新北每日數據'!C59:D59)=2,'新北每日數據'!B59,"")</x:f>
        <x:v>141390</x:v>
      </x:c>
      <x:c r="D59" s="44" t="n">
        <x:f>IF(COUNT(B59:C59)=2,SUM(B59:C59),"")</x:f>
        <x:v>413350</x:v>
      </x:c>
      <x:c r="E59" s="44" t="n">
        <x:f>IF(COUNT('台北每日數據'!C59:D59)=2,'台北每日數據'!G59,"")</x:f>
        <x:v>1204</x:v>
      </x:c>
      <x:c r="F59" s="44" t="n">
        <x:f>IF(COUNT('新北每日數據'!C59:D59)=2,'新北每日數據'!G59,"")</x:f>
        <x:v>775</x:v>
      </x:c>
      <x:c r="G59" s="44" t="n">
        <x:f>IF(COUNT(E59:F59)=2,SUM(E59:F59),"")</x:f>
        <x:v>1979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43" t="n">
        <x:f>'台北每日數據'!A60</x:f>
        <x:v>45892</x:v>
      </x:c>
      <x:c r="B60" s="44" t="n">
        <x:f>IF(COUNT('台北每日數據'!C60:D60)=2,'台北每日數據'!B60,"")</x:f>
        <x:v>225325</x:v>
      </x:c>
      <x:c r="C60" s="44" t="n">
        <x:f>IF(COUNT('新北每日數據'!C60:D60)=2,'新北每日數據'!B60,"")</x:f>
        <x:v>131489</x:v>
      </x:c>
      <x:c r="D60" s="44" t="n">
        <x:f>IF(COUNT(B60:C60)=2,SUM(B60:C60),"")</x:f>
        <x:v>356814</x:v>
      </x:c>
      <x:c r="E60" s="44" t="n">
        <x:f>IF(COUNT('台北每日數據'!C60:D60)=2,'台北每日數據'!G60,"")</x:f>
        <x:v>1219</x:v>
      </x:c>
      <x:c r="F60" s="44" t="n">
        <x:f>IF(COUNT('新北每日數據'!C60:D60)=2,'新北每日數據'!G60,"")</x:f>
        <x:v>834</x:v>
      </x:c>
      <x:c r="G60" s="44" t="n">
        <x:f>IF(COUNT(E60:F60)=2,SUM(E60:F60),"")</x:f>
        <x:v>2053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43" t="n">
        <x:f>'台北每日數據'!A61</x:f>
        <x:v>45893</x:v>
      </x:c>
      <x:c r="B61" s="44" t="n">
        <x:f>IF(COUNT('台北每日數據'!C61:D61)=2,'台北每日數據'!B61,"")</x:f>
        <x:v>200015</x:v>
      </x:c>
      <x:c r="C61" s="44" t="n">
        <x:f>IF(COUNT('新北每日數據'!C61:D61)=2,'新北每日數據'!B61,"")</x:f>
        <x:v>117845</x:v>
      </x:c>
      <x:c r="D61" s="44" t="n">
        <x:f>IF(COUNT(B61:C61)=2,SUM(B61:C61),"")</x:f>
        <x:v>317860</x:v>
      </x:c>
      <x:c r="E61" s="44" t="n">
        <x:f>IF(COUNT('台北每日數據'!C61:D61)=2,'台北每日數據'!G61,"")</x:f>
        <x:v>1063</x:v>
      </x:c>
      <x:c r="F61" s="44" t="n">
        <x:f>IF(COUNT('新北每日數據'!C61:D61)=2,'新北每日數據'!G61,"")</x:f>
        <x:v>756</x:v>
      </x:c>
      <x:c r="G61" s="44" t="n">
        <x:f>IF(COUNT(E61:F61)=2,SUM(E61:F61),"")</x:f>
        <x:v>1819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43" t="n">
        <x:f>'台北每日數據'!A62</x:f>
        <x:v>45894</x:v>
      </x:c>
      <x:c r="B62" s="44" t="n">
        <x:f>IF(COUNT('台北每日數據'!C62:D62)=2,'台北每日數據'!B62,"")</x:f>
        <x:v>256019</x:v>
      </x:c>
      <x:c r="C62" s="44" t="n">
        <x:f>IF(COUNT('新北每日數據'!C62:D62)=2,'新北每日數據'!B62,"")</x:f>
        <x:v>130314</x:v>
      </x:c>
      <x:c r="D62" s="44" t="n">
        <x:f>IF(COUNT(B62:C62)=2,SUM(B62:C62),"")</x:f>
        <x:v>386333</x:v>
      </x:c>
      <x:c r="E62" s="44" t="n">
        <x:f>IF(COUNT('台北每日數據'!C62:D62)=2,'台北每日數據'!G62,"")</x:f>
        <x:v>1055</x:v>
      </x:c>
      <x:c r="F62" s="44" t="n">
        <x:f>IF(COUNT('新北每日數據'!C62:D62)=2,'新北每日數據'!G62,"")</x:f>
        <x:v>769</x:v>
      </x:c>
      <x:c r="G62" s="44" t="n">
        <x:f>IF(COUNT(E62:F62)=2,SUM(E62:F62),"")</x:f>
        <x:v>1824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43" t="n">
        <x:f>'台北每日數據'!A63</x:f>
        <x:v>45895</x:v>
      </x:c>
      <x:c r="B63" s="44" t="n">
        <x:f>IF(COUNT('台北每日數據'!C63:D63)=2,'台北每日數據'!B63,"")</x:f>
        <x:v>267779</x:v>
      </x:c>
      <x:c r="C63" s="44" t="n">
        <x:f>IF(COUNT('新北每日數據'!C63:D63)=2,'新北每日數據'!B63,"")</x:f>
        <x:v>135849</x:v>
      </x:c>
      <x:c r="D63" s="44" t="n">
        <x:f>IF(COUNT(B63:C63)=2,SUM(B63:C63),"")</x:f>
        <x:v>403628</x:v>
      </x:c>
      <x:c r="E63" s="44" t="n">
        <x:f>IF(COUNT('台北每日數據'!C63:D63)=2,'台北每日數據'!G63,"")</x:f>
        <x:v>1236</x:v>
      </x:c>
      <x:c r="F63" s="44" t="n">
        <x:f>IF(COUNT('新北每日數據'!C63:D63)=2,'新北每日數據'!G63,"")</x:f>
        <x:v>848</x:v>
      </x:c>
      <x:c r="G63" s="44" t="n">
        <x:f>IF(COUNT(E63:F63)=2,SUM(E63:F63),"")</x:f>
        <x:v>2084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43" t="n">
        <x:f>'台北每日數據'!A64</x:f>
        <x:v>45896</x:v>
      </x:c>
      <x:c r="B64" s="44" t="n">
        <x:f>IF(COUNT('台北每日數據'!C64:D64)=2,'台北每日數據'!B64,"")</x:f>
        <x:v>278454</x:v>
      </x:c>
      <x:c r="C64" s="44" t="n">
        <x:f>IF(COUNT('新北每日數據'!C64:D64)=2,'新北每日數據'!B64,"")</x:f>
        <x:v>138853</x:v>
      </x:c>
      <x:c r="D64" s="44" t="n">
        <x:f>IF(COUNT(B64:C64)=2,SUM(B64:C64),"")</x:f>
        <x:v>417307</x:v>
      </x:c>
      <x:c r="E64" s="44" t="n">
        <x:f>IF(COUNT('台北每日數據'!C64:D64)=2,'台北每日數據'!G64,"")</x:f>
        <x:v>1347</x:v>
      </x:c>
      <x:c r="F64" s="44" t="n">
        <x:f>IF(COUNT('新北每日數據'!C64:D64)=2,'新北每日數據'!G64,"")</x:f>
        <x:v>907</x:v>
      </x:c>
      <x:c r="G64" s="44" t="n">
        <x:f>IF(COUNT(E64:F64)=2,SUM(E64:F64),"")</x:f>
        <x:v>2254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43" t="n">
        <x:f>'台北每日數據'!A65</x:f>
        <x:v>45897</x:v>
      </x:c>
      <x:c r="B65" s="44" t="n">
        <x:f>IF(COUNT('台北每日數據'!C65:D65)=2,'台北每日數據'!B65,"")</x:f>
        <x:v>271616</x:v>
      </x:c>
      <x:c r="C65" s="44" t="n">
        <x:f>IF(COUNT('新北每日數據'!C65:D65)=2,'新北每日數據'!B65,"")</x:f>
        <x:v>137478</x:v>
      </x:c>
      <x:c r="D65" s="44" t="n">
        <x:f>IF(COUNT(B65:C65)=2,SUM(B65:C65),"")</x:f>
        <x:v>409094</x:v>
      </x:c>
      <x:c r="E65" s="44" t="n">
        <x:f>IF(COUNT('台北每日數據'!C65:D65)=2,'台北每日數據'!G65,"")</x:f>
        <x:v>1286</x:v>
      </x:c>
      <x:c r="F65" s="44" t="n">
        <x:f>IF(COUNT('新北每日數據'!C65:D65)=2,'新北每日數據'!G65,"")</x:f>
        <x:v>927</x:v>
      </x:c>
      <x:c r="G65" s="44" t="n">
        <x:f>IF(COUNT(E65:F65)=2,SUM(E65:F65),"")</x:f>
        <x:v>2213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43" t="n">
        <x:f>'台北每日數據'!A66</x:f>
        <x:v>45898</x:v>
      </x:c>
      <x:c r="B66" s="44" t="n">
        <x:f>IF(COUNT('台北每日數據'!C66:D66)=2,'台北每日數據'!B66,"")</x:f>
        <x:v>275971</x:v>
      </x:c>
      <x:c r="C66" s="44" t="n">
        <x:f>IF(COUNT('新北每日數據'!C66:D66)=2,'新北每日數據'!B66,"")</x:f>
        <x:v>143596</x:v>
      </x:c>
      <x:c r="D66" s="44" t="n">
        <x:f>IF(COUNT(B66:C66)=2,SUM(B66:C66),"")</x:f>
        <x:v>419567</x:v>
      </x:c>
      <x:c r="E66" s="44" t="n">
        <x:f>IF(COUNT('台北每日數據'!C66:D66)=2,'台北每日數據'!G66,"")</x:f>
        <x:v>1480</x:v>
      </x:c>
      <x:c r="F66" s="44" t="n">
        <x:f>IF(COUNT('新北每日數據'!C66:D66)=2,'新北每日數據'!G66,"")</x:f>
        <x:v>944</x:v>
      </x:c>
      <x:c r="G66" s="44" t="n">
        <x:f>IF(COUNT(E66:F66)=2,SUM(E66:F66),"")</x:f>
        <x:v>2424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43" t="n">
        <x:f>'台北每日數據'!A67</x:f>
        <x:v>45899</x:v>
      </x:c>
      <x:c r="B67" s="44" t="n">
        <x:f>IF(COUNT('台北每日數據'!C67:D67)=2,'台北每日數據'!B67,"")</x:f>
        <x:v>234711</x:v>
      </x:c>
      <x:c r="C67" s="44" t="n">
        <x:f>IF(COUNT('新北每日數據'!C67:D67)=2,'新北每日數據'!B67,"")</x:f>
        <x:v>132221</x:v>
      </x:c>
      <x:c r="D67" s="44" t="n">
        <x:f>IF(COUNT(B67:C67)=2,SUM(B67:C67),"")</x:f>
        <x:v>366932</x:v>
      </x:c>
      <x:c r="E67" s="44" t="n">
        <x:f>IF(COUNT('台北每日數據'!C67:D67)=2,'台北每日數據'!G67,"")</x:f>
        <x:v>1473</x:v>
      </x:c>
      <x:c r="F67" s="44" t="n">
        <x:f>IF(COUNT('新北每日數據'!C67:D67)=2,'新北每日數據'!G67,"")</x:f>
        <x:v>1014</x:v>
      </x:c>
      <x:c r="G67" s="44" t="n">
        <x:f>IF(COUNT(E67:F67)=2,SUM(E67:F67),"")</x:f>
        <x:v>2487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43" t="n">
        <x:f>'台北每日數據'!A68</x:f>
        <x:v>45900</x:v>
      </x:c>
      <x:c r="B68" s="44" t="n">
        <x:f>IF(COUNT('台北每日數據'!C68:D68)=2,'台北每日數據'!B68,"")</x:f>
        <x:v>217353</x:v>
      </x:c>
      <x:c r="C68" s="44" t="n">
        <x:f>IF(COUNT('新北每日數據'!C68:D68)=2,'新北每日數據'!B68,"")</x:f>
        <x:v>117868</x:v>
      </x:c>
      <x:c r="D68" s="44" t="n">
        <x:f>IF(COUNT(B68:C68)=2,SUM(B68:C68),"")</x:f>
        <x:v>335221</x:v>
      </x:c>
      <x:c r="E68" s="44" t="n">
        <x:f>IF(COUNT('台北每日數據'!C68:D68)=2,'台北每日數據'!G68,"")</x:f>
        <x:v>1700</x:v>
      </x:c>
      <x:c r="F68" s="44" t="n">
        <x:f>IF(COUNT('新北每日數據'!C68:D68)=2,'新北每日數據'!G68,"")</x:f>
        <x:v>1147</x:v>
      </x:c>
      <x:c r="G68" s="44" t="n">
        <x:f>IF(COUNT(E68:F68)=2,SUM(E68:F68),"")</x:f>
        <x:v>2847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43" t="n">
        <x:f>'台北每日數據'!A69</x:f>
        <x:v>45901</x:v>
      </x:c>
      <x:c r="B69" s="44" t="n">
        <x:f>IF(COUNT('台北每日數據'!C69:D69)=2,'台北每日數據'!B69,"")</x:f>
        <x:v>254571</x:v>
      </x:c>
      <x:c r="C69" s="44" t="n">
        <x:f>IF(COUNT('新北每日數據'!C69:D69)=2,'新北每日數據'!B69,"")</x:f>
        <x:v>122204</x:v>
      </x:c>
      <x:c r="D69" s="44" t="n">
        <x:f>IF(COUNT(B69:C69)=2,SUM(B69:C69),"")</x:f>
        <x:v>376775</x:v>
      </x:c>
      <x:c r="E69" s="44" t="n">
        <x:f>IF(COUNT('台北每日數據'!C69:D69)=2,'台北每日數據'!G69,"")</x:f>
        <x:v>1007</x:v>
      </x:c>
      <x:c r="F69" s="44" t="n">
        <x:f>IF(COUNT('新北每日數據'!C69:D69)=2,'新北每日數據'!G69,"")</x:f>
        <x:v>705</x:v>
      </x:c>
      <x:c r="G69" s="44" t="n">
        <x:f>IF(COUNT(E69:F69)=2,SUM(E69:F69),"")</x:f>
        <x:v>1712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43" t="n">
        <x:f>'台北每日數據'!A70</x:f>
        <x:v>45902</x:v>
      </x:c>
      <x:c r="B70" s="44" t="n">
        <x:f>IF(COUNT('台北每日數據'!C70:D70)=2,'台北每日數據'!B70,"")</x:f>
        <x:v>239362</x:v>
      </x:c>
      <x:c r="C70" s="44" t="n">
        <x:f>IF(COUNT('新北每日數據'!C70:D70)=2,'新北每日數據'!B70,"")</x:f>
        <x:v>115601</x:v>
      </x:c>
      <x:c r="D70" s="44" t="n">
        <x:f>IF(COUNT(B70:C70)=2,SUM(B70:C70),"")</x:f>
        <x:v>354963</x:v>
      </x:c>
      <x:c r="E70" s="44" t="n">
        <x:f>IF(COUNT('台北每日數據'!C70:D70)=2,'台北每日數據'!G70,"")</x:f>
        <x:v>1001</x:v>
      </x:c>
      <x:c r="F70" s="44" t="n">
        <x:f>IF(COUNT('新北每日數據'!C70:D70)=2,'新北每日數據'!G70,"")</x:f>
        <x:v>701</x:v>
      </x:c>
      <x:c r="G70" s="44" t="n">
        <x:f>IF(COUNT(E70:F70)=2,SUM(E70:F70),"")</x:f>
        <x:v>1702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43" t="n">
        <x:f>'台北每日數據'!A71</x:f>
        <x:v>45903</x:v>
      </x:c>
      <x:c r="B71" s="44" t="n">
        <x:f>IF(COUNT('台北每日數據'!C71:D71)=2,'台北每日數據'!B71,"")</x:f>
        <x:v>287233</x:v>
      </x:c>
      <x:c r="C71" s="44" t="n">
        <x:f>IF(COUNT('新北每日數據'!C71:D71)=2,'新北每日數據'!B71,"")</x:f>
        <x:v>138109</x:v>
      </x:c>
      <x:c r="D71" s="44" t="n">
        <x:f>IF(COUNT(B71:C71)=2,SUM(B71:C71),"")</x:f>
        <x:v>425342</x:v>
      </x:c>
      <x:c r="E71" s="44" t="n">
        <x:f>IF(COUNT('台北每日數據'!C71:D71)=2,'台北每日數據'!G71,"")</x:f>
        <x:v>1151</x:v>
      </x:c>
      <x:c r="F71" s="44" t="n">
        <x:f>IF(COUNT('新北每日數據'!C71:D71)=2,'新北每日數據'!G71,"")</x:f>
        <x:v>848</x:v>
      </x:c>
      <x:c r="G71" s="44" t="n">
        <x:f>IF(COUNT(E71:F71)=2,SUM(E71:F71),"")</x:f>
        <x:v>1999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43" t="n">
        <x:f>'台北每日數據'!A72</x:f>
        <x:v>45904</x:v>
      </x:c>
      <x:c r="B72" s="44" t="n">
        <x:f>IF(COUNT('台北每日數據'!C72:D72)=2,'台北每日數據'!B72,"")</x:f>
        <x:v>264583</x:v>
      </x:c>
      <x:c r="C72" s="44" t="n">
        <x:f>IF(COUNT('新北每日數據'!C72:D72)=2,'新北每日數據'!B72,"")</x:f>
        <x:v>133053</x:v>
      </x:c>
      <x:c r="D72" s="44" t="n">
        <x:f>IF(COUNT(B72:C72)=2,SUM(B72:C72),"")</x:f>
        <x:v>397636</x:v>
      </x:c>
      <x:c r="E72" s="44" t="n">
        <x:f>IF(COUNT('台北每日數據'!C72:D72)=2,'台北每日數據'!G72,"")</x:f>
        <x:v>1097</x:v>
      </x:c>
      <x:c r="F72" s="44" t="n">
        <x:f>IF(COUNT('新北每日數據'!C72:D72)=2,'新北每日數據'!G72,"")</x:f>
        <x:v>758</x:v>
      </x:c>
      <x:c r="G72" s="44" t="n">
        <x:f>IF(COUNT(E72:F72)=2,SUM(E72:F72),"")</x:f>
        <x:v>1855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43" t="n">
        <x:f>'台北每日數據'!A73</x:f>
        <x:v>45905</x:v>
      </x:c>
      <x:c r="B73" s="44" t="n">
        <x:f>IF(COUNT('台北每日數據'!C73:D73)=2,'台北每日數據'!B73,"")</x:f>
        <x:v>292001</x:v>
      </x:c>
      <x:c r="C73" s="44" t="n">
        <x:f>IF(COUNT('新北每日數據'!C73:D73)=2,'新北每日數據'!B73,"")</x:f>
        <x:v>146735</x:v>
      </x:c>
      <x:c r="D73" s="44" t="n">
        <x:f>IF(COUNT(B73:C73)=2,SUM(B73:C73),"")</x:f>
        <x:v>438736</x:v>
      </x:c>
      <x:c r="E73" s="44" t="n">
        <x:f>IF(COUNT('台北每日數據'!C73:D73)=2,'台北每日數據'!G73,"")</x:f>
        <x:v>1262</x:v>
      </x:c>
      <x:c r="F73" s="44" t="n">
        <x:f>IF(COUNT('新北每日數據'!C73:D73)=2,'新北每日數據'!G73,"")</x:f>
        <x:v>864</x:v>
      </x:c>
      <x:c r="G73" s="44" t="n">
        <x:f>IF(COUNT(E73:F73)=2,SUM(E73:F73),"")</x:f>
        <x:v>2126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43" t="n">
        <x:f>'台北每日數據'!A74</x:f>
        <x:v>45906</x:v>
      </x:c>
      <x:c r="B74" s="44" t="n">
        <x:f>IF(COUNT('台北每日數據'!C74:D74)=2,'台北每日數據'!B74,"")</x:f>
        <x:v>235021</x:v>
      </x:c>
      <x:c r="C74" s="44" t="n">
        <x:f>IF(COUNT('新北每日數據'!C74:D74)=2,'新北每日數據'!B74,"")</x:f>
        <x:v>133729</x:v>
      </x:c>
      <x:c r="D74" s="44" t="n">
        <x:f>IF(COUNT(B74:C74)=2,SUM(B74:C74),"")</x:f>
        <x:v>368750</x:v>
      </x:c>
      <x:c r="E74" s="44" t="n">
        <x:f>IF(COUNT('台北每日數據'!C74:D74)=2,'台北每日數據'!G74,"")</x:f>
        <x:v>1109</x:v>
      </x:c>
      <x:c r="F74" s="44" t="n">
        <x:f>IF(COUNT('新北每日數據'!C74:D74)=2,'新北每日數據'!G74,"")</x:f>
        <x:v>772</x:v>
      </x:c>
      <x:c r="G74" s="44" t="n">
        <x:f>IF(COUNT(E74:F74)=2,SUM(E74:F74),"")</x:f>
        <x:v>1881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43" t="n">
        <x:f>'台北每日數據'!A75</x:f>
        <x:v>45907</x:v>
      </x:c>
      <x:c r="B75" s="44" t="n">
        <x:f>IF(COUNT('台北每日數據'!C75:D75)=2,'台北每日數據'!B75,"")</x:f>
        <x:v>156431</x:v>
      </x:c>
      <x:c r="C75" s="44" t="n">
        <x:f>IF(COUNT('新北每日數據'!C75:D75)=2,'新北每日數據'!B75,"")</x:f>
        <x:v>95038</x:v>
      </x:c>
      <x:c r="D75" s="44" t="n">
        <x:f>IF(COUNT(B75:C75)=2,SUM(B75:C75),"")</x:f>
        <x:v>251469</x:v>
      </x:c>
      <x:c r="E75" s="44" t="n">
        <x:f>IF(COUNT('台北每日數據'!C75:D75)=2,'台北每日數據'!G75,"")</x:f>
        <x:v>794</x:v>
      </x:c>
      <x:c r="F75" s="44" t="n">
        <x:f>IF(COUNT('新北每日數據'!C75:D75)=2,'新北每日數據'!G75,"")</x:f>
        <x:v>692</x:v>
      </x:c>
      <x:c r="G75" s="44" t="n">
        <x:f>IF(COUNT(E75:F75)=2,SUM(E75:F75),"")</x:f>
        <x:v>1486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43" t="n">
        <x:f>'台北每日數據'!A76</x:f>
        <x:v>45908</x:v>
      </x:c>
      <x:c r="B76" s="44" t="n">
        <x:f>IF(COUNT('台北每日數據'!C76:D76)=2,'台北每日數據'!B76,"")</x:f>
        <x:v>281082</x:v>
      </x:c>
      <x:c r="C76" s="44" t="n">
        <x:f>IF(COUNT('新北每日數據'!C76:D76)=2,'新北每日數據'!B76,"")</x:f>
        <x:v>136967</x:v>
      </x:c>
      <x:c r="D76" s="44" t="n">
        <x:f>IF(COUNT(B76:C76)=2,SUM(B76:C76),"")</x:f>
        <x:v>418049</x:v>
      </x:c>
      <x:c r="E76" s="44" t="n">
        <x:f>IF(COUNT('台北每日數據'!C76:D76)=2,'台北每日數據'!G76,"")</x:f>
        <x:v>1205</x:v>
      </x:c>
      <x:c r="F76" s="44" t="n">
        <x:f>IF(COUNT('新北每日數據'!C76:D76)=2,'新北每日數據'!G76,"")</x:f>
        <x:v>734</x:v>
      </x:c>
      <x:c r="G76" s="44" t="n">
        <x:f>IF(COUNT(E76:F76)=2,SUM(E76:F76),"")</x:f>
        <x:v>1939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43" t="n">
        <x:f>'台北每日數據'!A77</x:f>
        <x:v>45909</x:v>
      </x:c>
      <x:c r="B77" s="44" t="n">
        <x:f>IF(COUNT('台北每日數據'!C77:D77)=2,'台北每日數據'!B77,"")</x:f>
        <x:v>273215</x:v>
      </x:c>
      <x:c r="C77" s="44" t="n">
        <x:f>IF(COUNT('新北每日數據'!C77:D77)=2,'新北每日數據'!B77,"")</x:f>
        <x:v>136506</x:v>
      </x:c>
      <x:c r="D77" s="44" t="n">
        <x:f>IF(COUNT(B77:C77)=2,SUM(B77:C77),"")</x:f>
        <x:v>409721</x:v>
      </x:c>
      <x:c r="E77" s="44" t="n">
        <x:f>IF(COUNT('台北每日數據'!C77:D77)=2,'台北每日數據'!G77,"")</x:f>
        <x:v>1308</x:v>
      </x:c>
      <x:c r="F77" s="44" t="n">
        <x:f>IF(COUNT('新北每日數據'!C77:D77)=2,'新北每日數據'!G77,"")</x:f>
        <x:v>722</x:v>
      </x:c>
      <x:c r="G77" s="44" t="n">
        <x:f>IF(COUNT(E77:F77)=2,SUM(E77:F77),"")</x:f>
        <x:v>2030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43" t="n">
        <x:f>'台北每日數據'!A78</x:f>
        <x:v>45910</x:v>
      </x:c>
      <x:c r="B78" s="44" t="n">
        <x:f>IF(COUNT('台北每日數據'!C78:D78)=2,'台北每日數據'!B78,"")</x:f>
        <x:v>292600</x:v>
      </x:c>
      <x:c r="C78" s="44" t="n">
        <x:f>IF(COUNT('新北每日數據'!C78:D78)=2,'新北每日數據'!B78,"")</x:f>
        <x:v>138104</x:v>
      </x:c>
      <x:c r="D78" s="44" t="n">
        <x:f>IF(COUNT(B78:C78)=2,SUM(B78:C78),"")</x:f>
        <x:v>430704</x:v>
      </x:c>
      <x:c r="E78" s="44" t="n">
        <x:f>IF(COUNT('台北每日數據'!C78:D78)=2,'台北每日數據'!G78,"")</x:f>
        <x:v>1373</x:v>
      </x:c>
      <x:c r="F78" s="44" t="n">
        <x:f>IF(COUNT('新北每日數據'!C78:D78)=2,'新北每日數據'!G78,"")</x:f>
        <x:v>737</x:v>
      </x:c>
      <x:c r="G78" s="44" t="n">
        <x:f>IF(COUNT(E78:F78)=2,SUM(E78:F78),"")</x:f>
        <x:v>2110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43" t="n">
        <x:f>'台北每日數據'!A79</x:f>
        <x:v>45911</x:v>
      </x:c>
      <x:c r="B79" s="44" t="n">
        <x:f>IF(COUNT('台北每日數據'!C79:D79)=2,'台北每日數據'!B79,"")</x:f>
        <x:v>289765</x:v>
      </x:c>
      <x:c r="C79" s="44" t="n">
        <x:f>IF(COUNT('新北每日數據'!C79:D79)=2,'新北每日數據'!B79,"")</x:f>
        <x:v>142324</x:v>
      </x:c>
      <x:c r="D79" s="44" t="n">
        <x:f>IF(COUNT(B79:C79)=2,SUM(B79:C79),"")</x:f>
        <x:v>432089</x:v>
      </x:c>
      <x:c r="E79" s="44" t="n">
        <x:f>IF(COUNT('台北每日數據'!C79:D79)=2,'台北每日數據'!G79,"")</x:f>
        <x:v>1406</x:v>
      </x:c>
      <x:c r="F79" s="44" t="n">
        <x:f>IF(COUNT('新北每日數據'!C79:D79)=2,'新北每日數據'!G79,"")</x:f>
        <x:v>824</x:v>
      </x:c>
      <x:c r="G79" s="44" t="n">
        <x:f>IF(COUNT(E79:F79)=2,SUM(E79:F79),"")</x:f>
        <x:v>2230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43" t="n">
        <x:f>'台北每日數據'!A80</x:f>
        <x:v>45912</x:v>
      </x:c>
      <x:c r="B80" s="44" t="n">
        <x:f>IF(COUNT('台北每日數據'!C80:D80)=2,'台北每日數據'!B80,"")</x:f>
        <x:v>293057</x:v>
      </x:c>
      <x:c r="C80" s="44" t="n">
        <x:f>IF(COUNT('新北每日數據'!C80:D80)=2,'新北每日數據'!B80,"")</x:f>
        <x:v>148561</x:v>
      </x:c>
      <x:c r="D80" s="44" t="n">
        <x:f>IF(COUNT(B80:C80)=2,SUM(B80:C80),"")</x:f>
        <x:v>441618</x:v>
      </x:c>
      <x:c r="E80" s="44" t="n">
        <x:f>IF(COUNT('台北每日數據'!C80:D80)=2,'台北每日數據'!G80,"")</x:f>
        <x:v>1426</x:v>
      </x:c>
      <x:c r="F80" s="44" t="n">
        <x:f>IF(COUNT('新北每日數據'!C80:D80)=2,'新北每日數據'!G80,"")</x:f>
        <x:v>754</x:v>
      </x:c>
      <x:c r="G80" s="44" t="n">
        <x:f>IF(COUNT(E80:F80)=2,SUM(E80:F80),"")</x:f>
        <x:v>2180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43" t="n">
        <x:f>'台北每日數據'!A81</x:f>
        <x:v>45913</x:v>
      </x:c>
      <x:c r="B81" s="44" t="n">
        <x:f>IF(COUNT('台北每日數據'!C81:D81)=2,'台北每日數據'!B81,"")</x:f>
        <x:v>250674</x:v>
      </x:c>
      <x:c r="C81" s="44" t="n">
        <x:f>IF(COUNT('新北每日數據'!C81:D81)=2,'新北每日數據'!B81,"")</x:f>
        <x:v>143301</x:v>
      </x:c>
      <x:c r="D81" s="44" t="n">
        <x:f>IF(COUNT(B81:C81)=2,SUM(B81:C81),"")</x:f>
        <x:v>393975</x:v>
      </x:c>
      <x:c r="E81" s="44" t="n">
        <x:f>IF(COUNT('台北每日數據'!C81:D81)=2,'台北每日數據'!G81,"")</x:f>
        <x:v>1269</x:v>
      </x:c>
      <x:c r="F81" s="44" t="n">
        <x:f>IF(COUNT('新北每日數據'!C81:D81)=2,'新北每日數據'!G81,"")</x:f>
        <x:v>798</x:v>
      </x:c>
      <x:c r="G81" s="44" t="n">
        <x:f>IF(COUNT(E81:F81)=2,SUM(E81:F81),"")</x:f>
        <x:v>2067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43" t="n">
        <x:f>'台北每日數據'!A82</x:f>
        <x:v>45914</x:v>
      </x:c>
      <x:c r="B82" s="44" t="n">
        <x:f>IF(COUNT('台北每日數據'!C82:D82)=2,'台北每日數據'!B82,"")</x:f>
        <x:v>220017</x:v>
      </x:c>
      <x:c r="C82" s="44" t="n">
        <x:f>IF(COUNT('新北每日數據'!C82:D82)=2,'新北每日數據'!B82,"")</x:f>
        <x:v>128916</x:v>
      </x:c>
      <x:c r="D82" s="44" t="n">
        <x:f>IF(COUNT(B82:C82)=2,SUM(B82:C82),"")</x:f>
        <x:v>348933</x:v>
      </x:c>
      <x:c r="E82" s="44" t="n">
        <x:f>IF(COUNT('台北每日數據'!C82:D82)=2,'台北每日數據'!G82,"")</x:f>
        <x:v>1183</x:v>
      </x:c>
      <x:c r="F82" s="44" t="n">
        <x:f>IF(COUNT('新北每日數據'!C82:D82)=2,'新北每日數據'!G82,"")</x:f>
        <x:v>721</x:v>
      </x:c>
      <x:c r="G82" s="44" t="n">
        <x:f>IF(COUNT(E82:F82)=2,SUM(E82:F82),"")</x:f>
        <x:v>1904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43" t="n">
        <x:f>'台北每日數據'!A83</x:f>
        <x:v>45915</x:v>
      </x:c>
      <x:c r="B83" s="44" t="n">
        <x:f>IF(COUNT('台北每日數據'!C83:D83)=2,'台北每日數據'!B83,"")</x:f>
        <x:v>275894</x:v>
      </x:c>
      <x:c r="C83" s="44" t="n">
        <x:f>IF(COUNT('新北每日數據'!C83:D83)=2,'新北每日數據'!B83,"")</x:f>
        <x:v>137071</x:v>
      </x:c>
      <x:c r="D83" s="44" t="n">
        <x:f>IF(COUNT(B83:C83)=2,SUM(B83:C83),"")</x:f>
        <x:v>412965</x:v>
      </x:c>
      <x:c r="E83" s="44" t="n">
        <x:f>IF(COUNT('台北每日數據'!C83:D83)=2,'台北每日數據'!G83,"")</x:f>
        <x:v>1251</x:v>
      </x:c>
      <x:c r="F83" s="44" t="n">
        <x:f>IF(COUNT('新北每日數據'!C83:D83)=2,'新北每日數據'!G83,"")</x:f>
        <x:v>712</x:v>
      </x:c>
      <x:c r="G83" s="44" t="n">
        <x:f>IF(COUNT(E83:F83)=2,SUM(E83:F83),"")</x:f>
        <x:v>1963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43" t="n">
        <x:f>'台北每日數據'!A84</x:f>
        <x:v>45916</x:v>
      </x:c>
      <x:c r="B84" s="44" t="n">
        <x:f>IF(COUNT('台北每日數據'!C84:D84)=2,'台北每日數據'!B84,"")</x:f>
        <x:v>287329</x:v>
      </x:c>
      <x:c r="C84" s="44" t="n">
        <x:f>IF(COUNT('新北每日數據'!C84:D84)=2,'新北每日數據'!B84,"")</x:f>
        <x:v>142041</x:v>
      </x:c>
      <x:c r="D84" s="44" t="n">
        <x:f>IF(COUNT(B84:C84)=2,SUM(B84:C84),"")</x:f>
        <x:v>429370</x:v>
      </x:c>
      <x:c r="E84" s="44" t="n">
        <x:f>IF(COUNT('台北每日數據'!C84:D84)=2,'台北每日數據'!G84,"")</x:f>
        <x:v>1428</x:v>
      </x:c>
      <x:c r="F84" s="44" t="n">
        <x:f>IF(COUNT('新北每日數據'!C84:D84)=2,'新北每日數據'!G84,"")</x:f>
        <x:v>770</x:v>
      </x:c>
      <x:c r="G84" s="44" t="n">
        <x:f>IF(COUNT(E84:F84)=2,SUM(E84:F84),"")</x:f>
        <x:v>2198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43" t="n">
        <x:f>'台北每日數據'!A85</x:f>
        <x:v>45917</x:v>
      </x:c>
      <x:c r="B85" s="44" t="n">
        <x:f>IF(COUNT('台北每日數據'!C85:D85)=2,'台北每日數據'!B85,"")</x:f>
        <x:v>287034</x:v>
      </x:c>
      <x:c r="C85" s="44" t="n">
        <x:f>IF(COUNT('新北每日數據'!C85:D85)=2,'新北每日數據'!B85,"")</x:f>
        <x:v>141898</x:v>
      </x:c>
      <x:c r="D85" s="44" t="n">
        <x:f>IF(COUNT(B85:C85)=2,SUM(B85:C85),"")</x:f>
        <x:v>428932</x:v>
      </x:c>
      <x:c r="E85" s="44" t="n">
        <x:f>IF(COUNT('台北每日數據'!C85:D85)=2,'台北每日數據'!G85,"")</x:f>
        <x:v>1290</x:v>
      </x:c>
      <x:c r="F85" s="44" t="n">
        <x:f>IF(COUNT('新北每日數據'!C85:D85)=2,'新北每日數據'!G85,"")</x:f>
        <x:v>780</x:v>
      </x:c>
      <x:c r="G85" s="44" t="n">
        <x:f>IF(COUNT(E85:F85)=2,SUM(E85:F85),"")</x:f>
        <x:v>2070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43" t="n">
        <x:f>'台北每日數據'!A86</x:f>
        <x:v>45918</x:v>
      </x:c>
      <x:c r="B86" s="44" t="n">
        <x:f>IF(COUNT('台北每日數據'!C86:D86)=2,'台北每日數據'!B86,"")</x:f>
        <x:v>285653</x:v>
      </x:c>
      <x:c r="C86" s="44" t="n">
        <x:f>IF(COUNT('新北每日數據'!C86:D86)=2,'新北每日數據'!B86,"")</x:f>
        <x:v>140144</x:v>
      </x:c>
      <x:c r="D86" s="44" t="n">
        <x:f>IF(COUNT(B86:C86)=2,SUM(B86:C86),"")</x:f>
        <x:v>425797</x:v>
      </x:c>
      <x:c r="E86" s="44" t="n">
        <x:f>IF(COUNT('台北每日數據'!C86:D86)=2,'台北每日數據'!G86,"")</x:f>
        <x:v>1376</x:v>
      </x:c>
      <x:c r="F86" s="44" t="n">
        <x:f>IF(COUNT('新北每日數據'!C86:D86)=2,'新北每日數據'!G86,"")</x:f>
        <x:v>723</x:v>
      </x:c>
      <x:c r="G86" s="44" t="n">
        <x:f>IF(COUNT(E86:F86)=2,SUM(E86:F86),"")</x:f>
        <x:v>2099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43" t="n">
        <x:f>'台北每日數據'!A87</x:f>
        <x:v>45919</x:v>
      </x:c>
      <x:c r="B87" s="44" t="n">
        <x:f>IF(COUNT('台北每日數據'!C87:D87)=2,'台北每日數據'!B87,"")</x:f>
        <x:v>300900</x:v>
      </x:c>
      <x:c r="C87" s="44" t="n">
        <x:f>IF(COUNT('新北每日數據'!C87:D87)=2,'新北每日數據'!B87,"")</x:f>
        <x:v>142778</x:v>
      </x:c>
      <x:c r="D87" s="44" t="n">
        <x:f>IF(COUNT(B87:C87)=2,SUM(B87:C87),"")</x:f>
        <x:v>443678</x:v>
      </x:c>
      <x:c r="E87" s="44" t="n">
        <x:f>IF(COUNT('台北每日數據'!C87:D87)=2,'台北每日數據'!G87,"")</x:f>
        <x:v>1355</x:v>
      </x:c>
      <x:c r="F87" s="44" t="n">
        <x:f>IF(COUNT('新北每日數據'!C87:D87)=2,'新北每日數據'!G87,"")</x:f>
        <x:v>794</x:v>
      </x:c>
      <x:c r="G87" s="44" t="n">
        <x:f>IF(COUNT(E87:F87)=2,SUM(E87:F87),"")</x:f>
        <x:v>2149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43" t="n">
        <x:f>'台北每日數據'!A88</x:f>
        <x:v>45920</x:v>
      </x:c>
      <x:c r="B88" s="44" t="n">
        <x:f>IF(COUNT('台北每日數據'!C88:D88)=2,'台北每日數據'!B88,"")</x:f>
        <x:v>257508</x:v>
      </x:c>
      <x:c r="C88" s="44" t="n">
        <x:f>IF(COUNT('新北每日數據'!C88:D88)=2,'新北每日數據'!B88,"")</x:f>
        <x:v>143866</x:v>
      </x:c>
      <x:c r="D88" s="44" t="n">
        <x:f>IF(COUNT(B88:C88)=2,SUM(B88:C88),"")</x:f>
        <x:v>401374</x:v>
      </x:c>
      <x:c r="E88" s="44" t="n">
        <x:f>IF(COUNT('台北每日數據'!C88:D88)=2,'台北每日數據'!G88,"")</x:f>
        <x:v>1414</x:v>
      </x:c>
      <x:c r="F88" s="44" t="n">
        <x:f>IF(COUNT('新北每日數據'!C88:D88)=2,'新北每日數據'!G88,"")</x:f>
        <x:v>851</x:v>
      </x:c>
      <x:c r="G88" s="44" t="n">
        <x:f>IF(COUNT(E88:F88)=2,SUM(E88:F88),"")</x:f>
        <x:v>2265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43" t="n">
        <x:f>'台北每日數據'!A89</x:f>
        <x:v>45921</x:v>
      </x:c>
      <x:c r="B89" s="44" t="n">
        <x:f>IF(COUNT('台北每日數據'!C89:D89)=2,'台北每日數據'!B89,"")</x:f>
        <x:v>200279</x:v>
      </x:c>
      <x:c r="C89" s="44" t="n">
        <x:f>IF(COUNT('新北每日數據'!C89:D89)=2,'新北每日數據'!B89,"")</x:f>
        <x:v>115904</x:v>
      </x:c>
      <x:c r="D89" s="44" t="n">
        <x:f>IF(COUNT(B89:C89)=2,SUM(B89:C89),"")</x:f>
        <x:v>316183</x:v>
      </x:c>
      <x:c r="E89" s="44" t="n">
        <x:f>IF(COUNT('台北每日數據'!C89:D89)=2,'台北每日數據'!G89,"")</x:f>
        <x:v>1149</x:v>
      </x:c>
      <x:c r="F89" s="44" t="n">
        <x:f>IF(COUNT('新北每日數據'!C89:D89)=2,'新北每日數據'!G89,"")</x:f>
        <x:v>777</x:v>
      </x:c>
      <x:c r="G89" s="44" t="n">
        <x:f>IF(COUNT(E89:F89)=2,SUM(E89:F89),"")</x:f>
        <x:v>1926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43" t="n">
        <x:f>'台北每日數據'!A90</x:f>
        <x:v>45922</x:v>
      </x:c>
      <x:c r="B90" s="44" t="n">
        <x:f>IF(COUNT('台北每日數據'!C90:D90)=2,'台北每日數據'!B90,"")</x:f>
        <x:v>169998</x:v>
      </x:c>
      <x:c r="C90" s="44" t="n">
        <x:f>IF(COUNT('新北每日數據'!C90:D90)=2,'新北每日數據'!B90,"")</x:f>
        <x:v>99490</x:v>
      </x:c>
      <x:c r="D90" s="44" t="n">
        <x:f>IF(COUNT(B90:C90)=2,SUM(B90:C90),"")</x:f>
        <x:v>269488</x:v>
      </x:c>
      <x:c r="E90" s="44" t="n">
        <x:f>IF(COUNT('台北每日數據'!C90:D90)=2,'台北每日數據'!G90,"")</x:f>
        <x:v>706</x:v>
      </x:c>
      <x:c r="F90" s="44" t="n">
        <x:f>IF(COUNT('新北每日數據'!C90:D90)=2,'新北每日數據'!G90,"")</x:f>
        <x:v>543</x:v>
      </x:c>
      <x:c r="G90" s="44" t="n">
        <x:f>IF(COUNT(E90:F90)=2,SUM(E90:F90),"")</x:f>
        <x:v>1249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43" t="n">
        <x:f>'台北每日數據'!A91</x:f>
        <x:v>45923</x:v>
      </x:c>
      <x:c r="B91" s="44" t="n">
        <x:f>IF(COUNT('台北每日數據'!C91:D91)=2,'台北每日數據'!B91,"")</x:f>
        <x:v>104156</x:v>
      </x:c>
      <x:c r="C91" s="44" t="n">
        <x:f>IF(COUNT('新北每日數據'!C91:D91)=2,'新北每日數據'!B91,"")</x:f>
        <x:v>70191</x:v>
      </x:c>
      <x:c r="D91" s="44" t="n">
        <x:f>IF(COUNT(B91:C91)=2,SUM(B91:C91),"")</x:f>
        <x:v>174347</x:v>
      </x:c>
      <x:c r="E91" s="44" t="n">
        <x:f>IF(COUNT('台北每日數據'!C91:D91)=2,'台北每日數據'!G91,"")</x:f>
        <x:v>459</x:v>
      </x:c>
      <x:c r="F91" s="44" t="n">
        <x:f>IF(COUNT('新北每日數據'!C91:D91)=2,'新北每日數據'!G91,"")</x:f>
        <x:v>344</x:v>
      </x:c>
      <x:c r="G91" s="44" t="n">
        <x:f>IF(COUNT(E91:F91)=2,SUM(E91:F91),"")</x:f>
        <x:v>803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43" t="n">
        <x:f>'台北每日數據'!A92</x:f>
        <x:v>45924</x:v>
      </x:c>
      <x:c r="B92" s="44" t="n">
        <x:f>IF(COUNT('台北每日數據'!C92:D92)=2,'台北每日數據'!B92,"")</x:f>
        <x:v>294051</x:v>
      </x:c>
      <x:c r="C92" s="44" t="n">
        <x:f>IF(COUNT('新北每日數據'!C92:D92)=2,'新北每日數據'!B92,"")</x:f>
        <x:v>139621</x:v>
      </x:c>
      <x:c r="D92" s="44" t="n">
        <x:f>IF(COUNT(B92:C92)=2,SUM(B92:C92),"")</x:f>
        <x:v>433672</x:v>
      </x:c>
      <x:c r="E92" s="44" t="n">
        <x:f>IF(COUNT('台北每日數據'!C92:D92)=2,'台北每日數據'!G92,"")</x:f>
        <x:v>1570</x:v>
      </x:c>
      <x:c r="F92" s="44" t="n">
        <x:f>IF(COUNT('新北每日數據'!C92:D92)=2,'新北每日數據'!G92,"")</x:f>
        <x:v>894</x:v>
      </x:c>
      <x:c r="G92" s="44" t="n">
        <x:f>IF(COUNT(E92:F92)=2,SUM(E92:F92),"")</x:f>
        <x:v>2464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43" t="n">
        <x:f>'台北每日數據'!A93</x:f>
        <x:v>45925</x:v>
      </x:c>
      <x:c r="B93" s="44" t="n">
        <x:f>IF(COUNT('台北每日數據'!C93:D93)=2,'台北每日數據'!B93,"")</x:f>
        <x:v>290227</x:v>
      </x:c>
      <x:c r="C93" s="44" t="n">
        <x:f>IF(COUNT('新北每日數據'!C93:D93)=2,'新北每日數據'!B93,"")</x:f>
        <x:v>139561</x:v>
      </x:c>
      <x:c r="D93" s="44" t="n">
        <x:f>IF(COUNT(B93:C93)=2,SUM(B93:C93),"")</x:f>
        <x:v>429788</x:v>
      </x:c>
      <x:c r="E93" s="44" t="n">
        <x:f>IF(COUNT('台北每日數據'!C93:D93)=2,'台北每日數據'!G93,"")</x:f>
        <x:v>1623</x:v>
      </x:c>
      <x:c r="F93" s="44" t="n">
        <x:f>IF(COUNT('新北每日數據'!C93:D93)=2,'新北每日數據'!G93,"")</x:f>
        <x:v>847</x:v>
      </x:c>
      <x:c r="G93" s="44" t="n">
        <x:f>IF(COUNT(E93:F93)=2,SUM(E93:F93),"")</x:f>
        <x:v>2470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43" t="n">
        <x:f>'台北每日數據'!A94</x:f>
        <x:v>45926</x:v>
      </x:c>
      <x:c r="B94" s="44" t="n">
        <x:f>IF(COUNT('台北每日數據'!C94:D94)=2,'台北每日數據'!B94,"")</x:f>
        <x:v>278441</x:v>
      </x:c>
      <x:c r="C94" s="44" t="n">
        <x:f>IF(COUNT('新北每日數據'!C94:D94)=2,'新北每日數據'!B94,"")</x:f>
        <x:v>146187</x:v>
      </x:c>
      <x:c r="D94" s="44" t="n">
        <x:f>IF(COUNT(B94:C94)=2,SUM(B94:C94),"")</x:f>
        <x:v>424628</x:v>
      </x:c>
      <x:c r="E94" s="44" t="n">
        <x:f>IF(COUNT('台北每日數據'!C94:D94)=2,'台北每日數據'!G94,"")</x:f>
        <x:v>1511</x:v>
      </x:c>
      <x:c r="F94" s="44" t="n">
        <x:f>IF(COUNT('新北每日數據'!C94:D94)=2,'新北每日數據'!G94,"")</x:f>
        <x:v>927</x:v>
      </x:c>
      <x:c r="G94" s="44" t="n">
        <x:f>IF(COUNT(E94:F94)=2,SUM(E94:F94),"")</x:f>
        <x:v>2438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43" t="n">
        <x:f>'台北每日數據'!A95</x:f>
        <x:v>45927</x:v>
      </x:c>
      <x:c r="B95" s="44" t="n">
        <x:f>IF(COUNT('台北每日數據'!C95:D95)=2,'台北每日數據'!B95,"")</x:f>
        <x:v>233954</x:v>
      </x:c>
      <x:c r="C95" s="44" t="n">
        <x:f>IF(COUNT('新北每日數據'!C95:D95)=2,'新北每日數據'!B95,"")</x:f>
        <x:v>134446</x:v>
      </x:c>
      <x:c r="D95" s="44" t="n">
        <x:f>IF(COUNT(B95:C95)=2,SUM(B95:C95),"")</x:f>
        <x:v>368400</x:v>
      </x:c>
      <x:c r="E95" s="44" t="n">
        <x:f>IF(COUNT('台北每日數據'!C95:D95)=2,'台北每日數據'!G95,"")</x:f>
        <x:v>1584</x:v>
      </x:c>
      <x:c r="F95" s="44" t="n">
        <x:f>IF(COUNT('新北每日數據'!C95:D95)=2,'新北每日數據'!G95,"")</x:f>
        <x:v>974</x:v>
      </x:c>
      <x:c r="G95" s="44" t="n">
        <x:f>IF(COUNT(E95:F95)=2,SUM(E95:F95),"")</x:f>
        <x:v>2558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43" t="n">
        <x:f>'台北每日數據'!A96</x:f>
        <x:v>45928</x:v>
      </x:c>
      <x:c r="B96" s="44" t="n">
        <x:f>IF(COUNT('台北每日數據'!C96:D96)=2,'台北每日數據'!B96,"")</x:f>
        <x:v>214650</x:v>
      </x:c>
      <x:c r="C96" s="44" t="n">
        <x:f>IF(COUNT('新北每日數據'!C96:D96)=2,'新北每日數據'!B96,"")</x:f>
        <x:v>126495</x:v>
      </x:c>
      <x:c r="D96" s="44" t="n">
        <x:f>IF(COUNT(B96:C96)=2,SUM(B96:C96),"")</x:f>
        <x:v>341145</x:v>
      </x:c>
      <x:c r="E96" s="44" t="n">
        <x:f>IF(COUNT('台北每日數據'!C96:D96)=2,'台北每日數據'!G96,"")</x:f>
        <x:v>1573</x:v>
      </x:c>
      <x:c r="F96" s="44" t="n">
        <x:f>IF(COUNT('新北每日數據'!C96:D96)=2,'新北每日數據'!G96,"")</x:f>
        <x:v>963</x:v>
      </x:c>
      <x:c r="G96" s="44" t="n">
        <x:f>IF(COUNT(E96:F96)=2,SUM(E96:F96),"")</x:f>
        <x:v>2536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43" t="n">
        <x:f>'台北每日數據'!A97</x:f>
        <x:v>45929</x:v>
      </x:c>
      <x:c r="B97" s="44" t="n">
        <x:f>IF(COUNT('台北每日數據'!C97:D97)=2,'台北每日數據'!B97,"")</x:f>
        <x:v>202622</x:v>
      </x:c>
      <x:c r="C97" s="44" t="n">
        <x:f>IF(COUNT('新北每日數據'!C97:D97)=2,'新北每日數據'!B97,"")</x:f>
        <x:v>123509</x:v>
      </x:c>
      <x:c r="D97" s="44" t="n">
        <x:f>IF(COUNT(B97:C97)=2,SUM(B97:C97),"")</x:f>
        <x:v>326131</x:v>
      </x:c>
      <x:c r="E97" s="44" t="n">
        <x:f>IF(COUNT('台北每日數據'!C97:D97)=2,'台北每日數據'!G97,"")</x:f>
        <x:v>1525</x:v>
      </x:c>
      <x:c r="F97" s="44" t="n">
        <x:f>IF(COUNT('新北每日數據'!C97:D97)=2,'新北每日數據'!G97,"")</x:f>
        <x:v>1022</x:v>
      </x:c>
      <x:c r="G97" s="44" t="n">
        <x:f>IF(COUNT(E97:F97)=2,SUM(E97:F97),"")</x:f>
        <x:v>2547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43" t="n">
        <x:f>'台北每日數據'!A98</x:f>
        <x:v>45930</x:v>
      </x:c>
      <x:c r="B98" s="44" t="n">
        <x:f>IF(COUNT('台北每日數據'!C98:D98)=2,'台北每日數據'!B98,"")</x:f>
        <x:v>287745</x:v>
      </x:c>
      <x:c r="C98" s="44" t="n">
        <x:f>IF(COUNT('新北每日數據'!C98:D98)=2,'新北每日數據'!B98,"")</x:f>
        <x:v>138706</x:v>
      </x:c>
      <x:c r="D98" s="44" t="n">
        <x:f>IF(COUNT(B98:C98)=2,SUM(B98:C98),"")</x:f>
        <x:v>426451</x:v>
      </x:c>
      <x:c r="E98" s="44" t="n">
        <x:f>IF(COUNT('台北每日數據'!C98:D98)=2,'台北每日數據'!G98,"")</x:f>
        <x:v>2301</x:v>
      </x:c>
      <x:c r="F98" s="44" t="n">
        <x:f>IF(COUNT('新北每日數據'!C98:D98)=2,'新北每日數據'!G98,"")</x:f>
        <x:v>1236</x:v>
      </x:c>
      <x:c r="G98" s="44" t="n">
        <x:f>IF(COUNT(E98:F98)=2,SUM(E98:F98),"")</x:f>
        <x:v>3537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43" t="n">
        <x:f>'台北每日數據'!A99</x:f>
        <x:v>45931</x:v>
      </x:c>
      <x:c r="B99" s="44" t="n">
        <x:f>IF(COUNT('台北每日數據'!C99:D99)=2,'台北每日數據'!B99,"")</x:f>
        <x:v>265426</x:v>
      </x:c>
      <x:c r="C99" s="44" t="n">
        <x:f>IF(COUNT('新北每日數據'!C99:D99)=2,'新北每日數據'!B99,"")</x:f>
        <x:v>129378</x:v>
      </x:c>
      <x:c r="D99" s="44" t="n">
        <x:f>IF(COUNT(B99:C99)=2,SUM(B99:C99),"")</x:f>
        <x:v>394804</x:v>
      </x:c>
      <x:c r="E99" s="44" t="n">
        <x:f>IF(COUNT('台北每日數據'!C99:D99)=2,'台北每日數據'!G99,"")</x:f>
        <x:v>1240</x:v>
      </x:c>
      <x:c r="F99" s="44" t="n">
        <x:f>IF(COUNT('新北每日數據'!C99:D99)=2,'新北每日數據'!G99,"")</x:f>
        <x:v>754</x:v>
      </x:c>
      <x:c r="G99" s="44" t="n">
        <x:f>IF(COUNT(E99:F99)=2,SUM(E99:F99),"")</x:f>
        <x:v>1994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43" t="n">
        <x:f>'台北每日數據'!A100</x:f>
        <x:v>45932</x:v>
      </x:c>
      <x:c r="B100" s="44" t="n">
        <x:f>IF(COUNT('台北每日數據'!C100:D100)=2,'台北每日數據'!B100,"")</x:f>
        <x:v>288418</x:v>
      </x:c>
      <x:c r="C100" s="44" t="n">
        <x:f>IF(COUNT('新北每日數據'!C100:D100)=2,'新北每日數據'!B100,"")</x:f>
        <x:v>140478</x:v>
      </x:c>
      <x:c r="D100" s="44" t="n">
        <x:f>IF(COUNT(B100:C100)=2,SUM(B100:C100),"")</x:f>
        <x:v>428896</x:v>
      </x:c>
      <x:c r="E100" s="44" t="n">
        <x:f>IF(COUNT('台北每日數據'!C100:D100)=2,'台北每日數據'!G100,"")</x:f>
        <x:v>1410</x:v>
      </x:c>
      <x:c r="F100" s="44" t="n">
        <x:f>IF(COUNT('新北每日數據'!C100:D100)=2,'新北每日數據'!G100,"")</x:f>
        <x:v>791</x:v>
      </x:c>
      <x:c r="G100" s="44" t="n">
        <x:f>IF(COUNT(E100:F100)=2,SUM(E100:F100),"")</x:f>
        <x:v>2201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3" t="n">
        <x:f>'台北每日數據'!A101</x:f>
        <x:v>45933</x:v>
      </x:c>
      <x:c r="B101" s="44" t="n">
        <x:f>IF(COUNT('台北每日數據'!C101:D101)=2,'台北每日數據'!B101,"")</x:f>
        <x:v>297480</x:v>
      </x:c>
      <x:c r="C101" s="44" t="n">
        <x:f>IF(COUNT('新北每日數據'!C101:D101)=2,'新北每日數據'!B101,"")</x:f>
        <x:v>149684</x:v>
      </x:c>
      <x:c r="D101" s="44" t="n">
        <x:f>IF(COUNT(B101:C101)=2,SUM(B101:C101),"")</x:f>
        <x:v>447164</x:v>
      </x:c>
      <x:c r="E101" s="44" t="n">
        <x:f>IF(COUNT('台北每日數據'!C101:D101)=2,'台北每日數據'!G101,"")</x:f>
        <x:v>1435</x:v>
      </x:c>
      <x:c r="F101" s="44" t="n">
        <x:f>IF(COUNT('新北每日數據'!C101:D101)=2,'新北每日數據'!G101,"")</x:f>
        <x:v>830</x:v>
      </x:c>
      <x:c r="G101" s="44" t="n">
        <x:f>IF(COUNT(E101:F101)=2,SUM(E101:F101),"")</x:f>
        <x:v>2265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43" t="n">
        <x:f>'台北每日數據'!A102</x:f>
        <x:v>45934</x:v>
      </x:c>
      <x:c r="B102" s="44" t="n">
        <x:f>IF(COUNT('台北每日數據'!C102:D102)=2,'台北每日數據'!B102,"")</x:f>
        <x:v>215717</x:v>
      </x:c>
      <x:c r="C102" s="44" t="n">
        <x:f>IF(COUNT('新北每日數據'!C102:D102)=2,'新北每日數據'!B102,"")</x:f>
        <x:v>129755</x:v>
      </x:c>
      <x:c r="D102" s="44" t="n">
        <x:f>IF(COUNT(B102:C102)=2,SUM(B102:C102),"")</x:f>
        <x:v>345472</x:v>
      </x:c>
      <x:c r="E102" s="44" t="n">
        <x:f>IF(COUNT('台北每日數據'!C102:D102)=2,'台北每日數據'!G102,"")</x:f>
        <x:v>1169</x:v>
      </x:c>
      <x:c r="F102" s="44" t="n">
        <x:f>IF(COUNT('新北每日數據'!C102:D102)=2,'新北每日數據'!G102,"")</x:f>
        <x:v>830</x:v>
      </x:c>
      <x:c r="G102" s="44" t="n">
        <x:f>IF(COUNT(E102:F102)=2,SUM(E102:F102),"")</x:f>
        <x:v>1999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43" t="n">
        <x:f>'台北每日數據'!A103</x:f>
        <x:v>45935</x:v>
      </x:c>
      <x:c r="B103" s="44" t="n">
        <x:f>IF(COUNT('台北每日數據'!C103:D103)=2,'台北每日數據'!B103,"")</x:f>
        <x:v>195255</x:v>
      </x:c>
      <x:c r="C103" s="44" t="n">
        <x:f>IF(COUNT('新北每日數據'!C103:D103)=2,'新北每日數據'!B103,"")</x:f>
        <x:v>119783</x:v>
      </x:c>
      <x:c r="D103" s="44" t="n">
        <x:f>IF(COUNT(B103:C103)=2,SUM(B103:C103),"")</x:f>
        <x:v>315038</x:v>
      </x:c>
      <x:c r="E103" s="44" t="n">
        <x:f>IF(COUNT('台北每日數據'!C103:D103)=2,'台北每日數據'!G103,"")</x:f>
        <x:v>1149</x:v>
      </x:c>
      <x:c r="F103" s="44" t="n">
        <x:f>IF(COUNT('新北每日數據'!C103:D103)=2,'新北每日數據'!G103,"")</x:f>
        <x:v>889</x:v>
      </x:c>
      <x:c r="G103" s="44" t="n">
        <x:f>IF(COUNT(E103:F103)=2,SUM(E103:F103),"")</x:f>
        <x:v>2038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43" t="n">
        <x:f>'台北每日數據'!A104</x:f>
        <x:v>45936</x:v>
      </x:c>
      <x:c r="B104" s="44" t="n">
        <x:f>IF(COUNT('台北每日數據'!C104:D104)=2,'台北每日數據'!B104,"")</x:f>
        <x:v>191667</x:v>
      </x:c>
      <x:c r="C104" s="44" t="n">
        <x:f>IF(COUNT('新北每日數據'!C104:D104)=2,'新北每日數據'!B104,"")</x:f>
        <x:v>116076</x:v>
      </x:c>
      <x:c r="D104" s="44" t="n">
        <x:f>IF(COUNT(B104:C104)=2,SUM(B104:C104),"")</x:f>
        <x:v>307743</x:v>
      </x:c>
      <x:c r="E104" s="44" t="n">
        <x:f>IF(COUNT('台北每日數據'!C104:D104)=2,'台北每日數據'!G104,"")</x:f>
        <x:v>1019</x:v>
      </x:c>
      <x:c r="F104" s="44" t="n">
        <x:f>IF(COUNT('新北每日數據'!C104:D104)=2,'新北每日數據'!G104,"")</x:f>
        <x:v>729</x:v>
      </x:c>
      <x:c r="G104" s="44" t="n">
        <x:f>IF(COUNT(E104:F104)=2,SUM(E104:F104),"")</x:f>
        <x:v>1748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43" t="n">
        <x:f>'台北每日數據'!A105</x:f>
        <x:v>45937</x:v>
      </x:c>
      <x:c r="B105" s="44" t="n">
        <x:f>IF(COUNT('台北每日數據'!C105:D105)=2,'台北每日數據'!B105,"")</x:f>
        <x:v>282456</x:v>
      </x:c>
      <x:c r="C105" s="44" t="n">
        <x:f>IF(COUNT('新北每日數據'!C105:D105)=2,'新北每日數據'!B105,"")</x:f>
        <x:v>137536</x:v>
      </x:c>
      <x:c r="D105" s="44" t="n">
        <x:f>IF(COUNT(B105:C105)=2,SUM(B105:C105),"")</x:f>
        <x:v>419992</x:v>
      </x:c>
      <x:c r="E105" s="44" t="n">
        <x:f>IF(COUNT('台北每日數據'!C105:D105)=2,'台北每日數據'!G105,"")</x:f>
        <x:v>1248</x:v>
      </x:c>
      <x:c r="F105" s="44" t="n">
        <x:f>IF(COUNT('新北每日數據'!C105:D105)=2,'新北每日數據'!G105,"")</x:f>
        <x:v>854</x:v>
      </x:c>
      <x:c r="G105" s="44" t="n">
        <x:f>IF(COUNT(E105:F105)=2,SUM(E105:F105),"")</x:f>
        <x:v>2102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43" t="n">
        <x:f>'台北每日數據'!A106</x:f>
        <x:v>45938</x:v>
      </x:c>
      <x:c r="B106" s="44" t="n">
        <x:f>IF(COUNT('台北每日數據'!C106:D106)=2,'台北每日數據'!B106,"")</x:f>
        <x:v>284731</x:v>
      </x:c>
      <x:c r="C106" s="44" t="n">
        <x:f>IF(COUNT('新北每日數據'!C106:D106)=2,'新北每日數據'!B106,"")</x:f>
        <x:v>140351</x:v>
      </x:c>
      <x:c r="D106" s="44" t="n">
        <x:f>IF(COUNT(B106:C106)=2,SUM(B106:C106),"")</x:f>
        <x:v>425082</x:v>
      </x:c>
      <x:c r="E106" s="44" t="n">
        <x:f>IF(COUNT('台北每日數據'!C106:D106)=2,'台北每日數據'!G106,"")</x:f>
        <x:v>1249</x:v>
      </x:c>
      <x:c r="F106" s="44" t="n">
        <x:f>IF(COUNT('新北每日數據'!C106:D106)=2,'新北每日數據'!G106,"")</x:f>
        <x:v>852</x:v>
      </x:c>
      <x:c r="G106" s="44" t="n">
        <x:f>IF(COUNT(E106:F106)=2,SUM(E106:F106),"")</x:f>
        <x:v>2101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43" t="n">
        <x:f>'台北每日數據'!A107</x:f>
        <x:v>45939</x:v>
      </x:c>
      <x:c r="B107" s="44" t="n">
        <x:f>IF(COUNT('台北每日數據'!C107:D107)=2,'台北每日數據'!B107,"")</x:f>
        <x:v>286757</x:v>
      </x:c>
      <x:c r="C107" s="44" t="n">
        <x:f>IF(COUNT('新北每日數據'!C107:D107)=2,'新北每日數據'!B107,"")</x:f>
        <x:v>148052</x:v>
      </x:c>
      <x:c r="D107" s="44" t="n">
        <x:f>IF(COUNT(B107:C107)=2,SUM(B107:C107),"")</x:f>
        <x:v>434809</x:v>
      </x:c>
      <x:c r="E107" s="44" t="n">
        <x:f>IF(COUNT('台北每日數據'!C107:D107)=2,'台北每日數據'!G107,"")</x:f>
        <x:v>1256</x:v>
      </x:c>
      <x:c r="F107" s="44" t="n">
        <x:f>IF(COUNT('新北每日數據'!C107:D107)=2,'新北每日數據'!G107,"")</x:f>
        <x:v>834</x:v>
      </x:c>
      <x:c r="G107" s="44" t="n">
        <x:f>IF(COUNT(E107:F107)=2,SUM(E107:F107),"")</x:f>
        <x:v>2090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43" t="n">
        <x:f>'台北每日數據'!A108</x:f>
        <x:v>45940</x:v>
      </x:c>
      <x:c r="B108" s="44" t="n">
        <x:f>IF(COUNT('台北每日數據'!C108:D108)=2,'台北每日數據'!B108,"")</x:f>
        <x:v>223858</x:v>
      </x:c>
      <x:c r="C108" s="44" t="n">
        <x:f>IF(COUNT('新北每日數據'!C108:D108)=2,'新北每日數據'!B108,"")</x:f>
        <x:v>131261</x:v>
      </x:c>
      <x:c r="D108" s="44" t="n">
        <x:f>IF(COUNT(B108:C108)=2,SUM(B108:C108),"")</x:f>
        <x:v>355119</x:v>
      </x:c>
      <x:c r="E108" s="44" t="n">
        <x:f>IF(COUNT('台北每日數據'!C108:D108)=2,'台北每日數據'!G108,"")</x:f>
        <x:v>1262</x:v>
      </x:c>
      <x:c r="F108" s="44" t="n">
        <x:f>IF(COUNT('新北每日數據'!C108:D108)=2,'新北每日數據'!G108,"")</x:f>
        <x:v>895</x:v>
      </x:c>
      <x:c r="G108" s="44" t="n">
        <x:f>IF(COUNT(E108:F108)=2,SUM(E108:F108),"")</x:f>
        <x:v>2157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43" t="n">
        <x:f>'台北每日數據'!A109</x:f>
        <x:v>45941</x:v>
      </x:c>
      <x:c r="B109" s="44" t="n">
        <x:f>IF(COUNT('台北每日數據'!C109:D109)=2,'台北每日數據'!B109,"")</x:f>
        <x:v>232918</x:v>
      </x:c>
      <x:c r="C109" s="44" t="n">
        <x:f>IF(COUNT('新北每日數據'!C109:D109)=2,'新北每日數據'!B109,"")</x:f>
        <x:v>135041</x:v>
      </x:c>
      <x:c r="D109" s="44" t="n">
        <x:f>IF(COUNT(B109:C109)=2,SUM(B109:C109),"")</x:f>
        <x:v>367959</x:v>
      </x:c>
      <x:c r="E109" s="44" t="n">
        <x:f>IF(COUNT('台北每日數據'!C109:D109)=2,'台北每日數據'!G109,"")</x:f>
        <x:v>1273</x:v>
      </x:c>
      <x:c r="F109" s="44" t="n">
        <x:f>IF(COUNT('新北每日數據'!C109:D109)=2,'新北每日數據'!G109,"")</x:f>
        <x:v>822</x:v>
      </x:c>
      <x:c r="G109" s="44" t="n">
        <x:f>IF(COUNT(E109:F109)=2,SUM(E109:F109),"")</x:f>
        <x:v>2095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43" t="n">
        <x:f>'台北每日數據'!A110</x:f>
        <x:v>45942</x:v>
      </x:c>
      <x:c r="B110" s="44" t="n">
        <x:f>IF(COUNT('台北每日數據'!C110:D110)=2,'台北每日數據'!B110,"")</x:f>
        <x:v>216592</x:v>
      </x:c>
      <x:c r="C110" s="44" t="n">
        <x:f>IF(COUNT('新北每日數據'!C110:D110)=2,'新北每日數據'!B110,"")</x:f>
        <x:v>124741</x:v>
      </x:c>
      <x:c r="D110" s="44" t="n">
        <x:f>IF(COUNT(B110:C110)=2,SUM(B110:C110),"")</x:f>
        <x:v>341333</x:v>
      </x:c>
      <x:c r="E110" s="44" t="n">
        <x:f>IF(COUNT('台北每日數據'!C110:D110)=2,'台北每日數據'!G110,"")</x:f>
        <x:v>1170</x:v>
      </x:c>
      <x:c r="F110" s="44" t="n">
        <x:f>IF(COUNT('新北每日數據'!C110:D110)=2,'新北每日數據'!G110,"")</x:f>
        <x:v>820</x:v>
      </x:c>
      <x:c r="G110" s="44" t="n">
        <x:f>IF(COUNT(E110:F110)=2,SUM(E110:F110),"")</x:f>
        <x:v>1990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43" t="n">
        <x:f>'台北每日數據'!A111</x:f>
        <x:v>45943</x:v>
      </x:c>
      <x:c r="B111" s="44" t="n">
        <x:f>IF(COUNT('台北每日數據'!C111:D111)=2,'台北每日數據'!B111,"")</x:f>
        <x:v>277902</x:v>
      </x:c>
      <x:c r="C111" s="44" t="n">
        <x:f>IF(COUNT('新北每日數據'!C111:D111)=2,'新北每日數據'!B111,"")</x:f>
        <x:v>136117</x:v>
      </x:c>
      <x:c r="D111" s="44" t="n">
        <x:f>IF(COUNT(B111:C111)=2,SUM(B111:C111),"")</x:f>
        <x:v>414019</x:v>
      </x:c>
      <x:c r="E111" s="44" t="n">
        <x:f>IF(COUNT('台北每日數據'!C111:D111)=2,'台北每日數據'!G111,"")</x:f>
        <x:v>1211</x:v>
      </x:c>
      <x:c r="F111" s="44" t="n">
        <x:f>IF(COUNT('新北每日數據'!C111:D111)=2,'新北每日數據'!G111,"")</x:f>
        <x:v>760</x:v>
      </x:c>
      <x:c r="G111" s="44" t="n">
        <x:f>IF(COUNT(E111:F111)=2,SUM(E111:F111),"")</x:f>
        <x:v>1971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43" t="n">
        <x:f>'台北每日數據'!A112</x:f>
        <x:v>45944</x:v>
      </x:c>
      <x:c r="B112" s="44" t="n">
        <x:f>IF(COUNT('台北每日數據'!C112:D112)=2,'台北每日數據'!B112,"")</x:f>
        <x:v>288944</x:v>
      </x:c>
      <x:c r="C112" s="44" t="n">
        <x:f>IF(COUNT('新北每日數據'!C112:D112)=2,'新北每日數據'!B112,"")</x:f>
        <x:v>140787</x:v>
      </x:c>
      <x:c r="D112" s="44" t="n">
        <x:f>IF(COUNT(B112:C112)=2,SUM(B112:C112),"")</x:f>
        <x:v>429731</x:v>
      </x:c>
      <x:c r="E112" s="44" t="n">
        <x:f>IF(COUNT('台北每日數據'!C112:D112)=2,'台北每日數據'!G112,"")</x:f>
        <x:v>1341</x:v>
      </x:c>
      <x:c r="F112" s="44" t="n">
        <x:f>IF(COUNT('新北每日數據'!C112:D112)=2,'新北每日數據'!G112,"")</x:f>
        <x:v>811</x:v>
      </x:c>
      <x:c r="G112" s="44" t="n">
        <x:f>IF(COUNT(E112:F112)=2,SUM(E112:F112),"")</x:f>
        <x:v>2152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43" t="n">
        <x:f>'台北每日數據'!A113</x:f>
        <x:v>45945</x:v>
      </x:c>
      <x:c r="B113" s="44" t="n">
        <x:f>IF(COUNT('台北每日數據'!C113:D113)=2,'台北每日數據'!B113,"")</x:f>
        <x:v>293393</x:v>
      </x:c>
      <x:c r="C113" s="44" t="n">
        <x:f>IF(COUNT('新北每日數據'!C113:D113)=2,'新北每日數據'!B113,"")</x:f>
        <x:v>144901</x:v>
      </x:c>
      <x:c r="D113" s="44" t="n">
        <x:f>IF(COUNT(B113:C113)=2,SUM(B113:C113),"")</x:f>
        <x:v>438294</x:v>
      </x:c>
      <x:c r="E113" s="44" t="n">
        <x:f>IF(COUNT('台北每日數據'!C113:D113)=2,'台北每日數據'!G113,"")</x:f>
        <x:v>1415</x:v>
      </x:c>
      <x:c r="F113" s="44" t="n">
        <x:f>IF(COUNT('新北每日數據'!C113:D113)=2,'新北每日數據'!G113,"")</x:f>
        <x:v>852</x:v>
      </x:c>
      <x:c r="G113" s="44" t="n">
        <x:f>IF(COUNT(E113:F113)=2,SUM(E113:F113),"")</x:f>
        <x:v>2267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43" t="n">
        <x:f>'台北每日數據'!A114</x:f>
        <x:v>45946</x:v>
      </x:c>
      <x:c r="B114" s="44" t="n">
        <x:f>IF(COUNT('台北每日數據'!C114:D114)=2,'台北每日數據'!B114,"")</x:f>
        <x:v>292884</x:v>
      </x:c>
      <x:c r="C114" s="44" t="n">
        <x:f>IF(COUNT('新北每日數據'!C114:D114)=2,'新北每日數據'!B114,"")</x:f>
        <x:v>144460</x:v>
      </x:c>
      <x:c r="D114" s="44" t="n">
        <x:f>IF(COUNT(B114:C114)=2,SUM(B114:C114),"")</x:f>
        <x:v>437344</x:v>
      </x:c>
      <x:c r="E114" s="44" t="n">
        <x:f>IF(COUNT('台北每日數據'!C114:D114)=2,'台北每日數據'!G114,"")</x:f>
        <x:v>1423</x:v>
      </x:c>
      <x:c r="F114" s="44" t="n">
        <x:f>IF(COUNT('新北每日數據'!C114:D114)=2,'新北每日數據'!G114,"")</x:f>
        <x:v>767</x:v>
      </x:c>
      <x:c r="G114" s="44" t="n">
        <x:f>IF(COUNT(E114:F114)=2,SUM(E114:F114),"")</x:f>
        <x:v>2190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43" t="n">
        <x:f>'台北每日數據'!A115</x:f>
        <x:v>45947</x:v>
      </x:c>
      <x:c r="B115" s="44" t="n">
        <x:f>IF(COUNT('台北每日數據'!C115:D115)=2,'台北每日數據'!B115,"")</x:f>
        <x:v>301717</x:v>
      </x:c>
      <x:c r="C115" s="44" t="n">
        <x:f>IF(COUNT('新北每日數據'!C115:D115)=2,'新北每日數據'!B115,"")</x:f>
        <x:v>151587</x:v>
      </x:c>
      <x:c r="D115" s="44" t="n">
        <x:f>IF(COUNT(B115:C115)=2,SUM(B115:C115),"")</x:f>
        <x:v>453304</x:v>
      </x:c>
      <x:c r="E115" s="44" t="n">
        <x:f>IF(COUNT('台北每日數據'!C115:D115)=2,'台北每日數據'!G115,"")</x:f>
        <x:v>1467</x:v>
      </x:c>
      <x:c r="F115" s="44" t="n">
        <x:f>IF(COUNT('新北每日數據'!C115:D115)=2,'新北每日數據'!G115,"")</x:f>
        <x:v>835</x:v>
      </x:c>
      <x:c r="G115" s="44" t="n">
        <x:f>IF(COUNT(E115:F115)=2,SUM(E115:F115),"")</x:f>
        <x:v>2302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43" t="n">
        <x:f>'台北每日數據'!A116</x:f>
        <x:v>45948</x:v>
      </x:c>
      <x:c r="B116" s="44" t="n">
        <x:f>IF(COUNT('台北每日數據'!C116:D116)=2,'台北每日數據'!B116,"")</x:f>
        <x:v>250955</x:v>
      </x:c>
      <x:c r="C116" s="44" t="n">
        <x:f>IF(COUNT('新北每日數據'!C116:D116)=2,'新北每日數據'!B116,"")</x:f>
        <x:v>147355</x:v>
      </x:c>
      <x:c r="D116" s="44" t="n">
        <x:f>IF(COUNT(B116:C116)=2,SUM(B116:C116),"")</x:f>
        <x:v>398310</x:v>
      </x:c>
      <x:c r="E116" s="44" t="n">
        <x:f>IF(COUNT('台北每日數據'!C116:D116)=2,'台北每日數據'!G116,"")</x:f>
        <x:v>1338</x:v>
      </x:c>
      <x:c r="F116" s="44" t="n">
        <x:f>IF(COUNT('新北每日數據'!C116:D116)=2,'新北每日數據'!G116,"")</x:f>
        <x:v>913</x:v>
      </x:c>
      <x:c r="G116" s="44" t="n">
        <x:f>IF(COUNT(E116:F116)=2,SUM(E116:F116),"")</x:f>
        <x:v>2251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43" t="n">
        <x:f>'台北每日數據'!A117</x:f>
        <x:v>45949</x:v>
      </x:c>
      <x:c r="B117" s="44" t="n">
        <x:f>IF(COUNT('台北每日數據'!C117:D117)=2,'台北每日數據'!B117,"")</x:f>
        <x:v>116874</x:v>
      </x:c>
      <x:c r="C117" s="44" t="n">
        <x:f>IF(COUNT('新北每日數據'!C117:D117)=2,'新北每日數據'!B117,"")</x:f>
        <x:v>75658</x:v>
      </x:c>
      <x:c r="D117" s="44" t="n">
        <x:f>IF(COUNT(B117:C117)=2,SUM(B117:C117),"")</x:f>
        <x:v>192532</x:v>
      </x:c>
      <x:c r="E117" s="44" t="n">
        <x:f>IF(COUNT('台北每日數據'!C117:D117)=2,'台北每日數據'!G117,"")</x:f>
        <x:v>729</x:v>
      </x:c>
      <x:c r="F117" s="44" t="n">
        <x:f>IF(COUNT('新北每日數據'!C117:D117)=2,'新北每日數據'!G117,"")</x:f>
        <x:v>557</x:v>
      </x:c>
      <x:c r="G117" s="44" t="n">
        <x:f>IF(COUNT(E117:F117)=2,SUM(E117:F117),"")</x:f>
        <x:v>1286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43" t="n">
        <x:f>'台北每日數據'!A118</x:f>
        <x:v>45950</x:v>
      </x:c>
      <x:c r="B118" s="44" t="n">
        <x:f>IF(COUNT('台北每日數據'!C118:D118)=2,'台北每日數據'!B118,"")</x:f>
        <x:v>40111</x:v>
      </x:c>
      <x:c r="C118" s="44" t="n">
        <x:f>IF(COUNT('新北每日數據'!C118:D118)=2,'新北每日數據'!B118,"")</x:f>
        <x:v>20382</x:v>
      </x:c>
      <x:c r="D118" s="44" t="n">
        <x:f>IF(COUNT(B118:C118)=2,SUM(B118:C118),"")</x:f>
        <x:v>60493</x:v>
      </x:c>
      <x:c r="E118" s="44" t="n">
        <x:f>IF(COUNT('台北每日數據'!C118:D118)=2,'台北每日數據'!G118,"")</x:f>
        <x:v>210</x:v>
      </x:c>
      <x:c r="F118" s="44" t="n">
        <x:f>IF(COUNT('新北每日數據'!C118:D118)=2,'新北每日數據'!G118,"")</x:f>
        <x:v>143</x:v>
      </x:c>
      <x:c r="G118" s="44" t="n">
        <x:f>IF(COUNT(E118:F118)=2,SUM(E118:F118),"")</x:f>
        <x:v>353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43" t="n">
        <x:f>'台北每日數據'!A119</x:f>
        <x:v>45951</x:v>
      </x:c>
      <x:c r="B119" s="44" t="n">
        <x:f>IF(COUNT('台北每日數據'!C119:D119)=2,'台北每日數據'!B119,"")</x:f>
        <x:v>31321</x:v>
      </x:c>
      <x:c r="C119" s="44" t="n">
        <x:f>IF(COUNT('新北每日數據'!C119:D119)=2,'新北每日數據'!B119,"")</x:f>
        <x:v>16708</x:v>
      </x:c>
      <x:c r="D119" s="44" t="n">
        <x:f>IF(COUNT(B119:C119)=2,SUM(B119:C119),"")</x:f>
        <x:v>48029</x:v>
      </x:c>
      <x:c r="E119" s="44" t="n">
        <x:f>IF(COUNT('台北每日數據'!C119:D119)=2,'台北每日數據'!G119,"")</x:f>
        <x:v>180</x:v>
      </x:c>
      <x:c r="F119" s="44" t="n">
        <x:f>IF(COUNT('新北每日數據'!C119:D119)=2,'新北每日數據'!G119,"")</x:f>
        <x:v>97</x:v>
      </x:c>
      <x:c r="G119" s="44" t="n">
        <x:f>IF(COUNT(E119:F119)=2,SUM(E119:F119),"")</x:f>
        <x:v>277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43" t="n">
        <x:f>'台北每日數據'!A120</x:f>
        <x:v>45952</x:v>
      </x:c>
      <x:c r="B120" s="44" t="n">
        <x:f>IF(COUNT('台北每日數據'!C120:D120)=2,'台北每日數據'!B120,"")</x:f>
        <x:v>57455</x:v>
      </x:c>
      <x:c r="C120" s="44" t="n">
        <x:f>IF(COUNT('新北每日數據'!C120:D120)=2,'新北每日數據'!B120,"")</x:f>
        <x:v>37785</x:v>
      </x:c>
      <x:c r="D120" s="44" t="n">
        <x:f>IF(COUNT(B120:C120)=2,SUM(B120:C120),"")</x:f>
        <x:v>95240</x:v>
      </x:c>
      <x:c r="E120" s="44" t="n">
        <x:f>IF(COUNT('台北每日數據'!C120:D120)=2,'台北每日數據'!G120,"")</x:f>
        <x:v>301</x:v>
      </x:c>
      <x:c r="F120" s="44" t="n">
        <x:f>IF(COUNT('新北每日數據'!C120:D120)=2,'新北每日數據'!G120,"")</x:f>
        <x:v>227</x:v>
      </x:c>
      <x:c r="G120" s="44" t="n">
        <x:f>IF(COUNT(E120:F120)=2,SUM(E120:F120),"")</x:f>
        <x:v>528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43" t="n">
        <x:f>'台北每日數據'!A121</x:f>
        <x:v>45953</x:v>
      </x:c>
      <x:c r="B121" s="44" t="n">
        <x:f>IF(COUNT('台北每日數據'!C121:D121)=2,'台北每日數據'!B121,"")</x:f>
        <x:v>108921</x:v>
      </x:c>
      <x:c r="C121" s="44" t="n">
        <x:f>IF(COUNT('新北每日數據'!C121:D121)=2,'新北每日數據'!B121,"")</x:f>
        <x:v>65829</x:v>
      </x:c>
      <x:c r="D121" s="44" t="n">
        <x:f>IF(COUNT(B121:C121)=2,SUM(B121:C121),"")</x:f>
        <x:v>174750</x:v>
      </x:c>
      <x:c r="E121" s="44" t="n">
        <x:f>IF(COUNT('台北每日數據'!C121:D121)=2,'台北每日數據'!G121,"")</x:f>
        <x:v>608</x:v>
      </x:c>
      <x:c r="F121" s="44" t="n">
        <x:f>IF(COUNT('新北每日數據'!C121:D121)=2,'新北每日數據'!G121,"")</x:f>
        <x:v>384</x:v>
      </x:c>
      <x:c r="G121" s="44" t="n">
        <x:f>IF(COUNT(E121:F121)=2,SUM(E121:F121),"")</x:f>
        <x:v>992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43" t="n">
        <x:f>'台北每日數據'!A122</x:f>
        <x:v>45954</x:v>
      </x:c>
      <x:c r="B122" s="44" t="n">
        <x:f>IF(COUNT('台北每日數據'!C122:D122)=2,'台北每日數據'!B122,"")</x:f>
        <x:v>71222</x:v>
      </x:c>
      <x:c r="C122" s="44" t="n">
        <x:f>IF(COUNT('新北每日數據'!C122:D122)=2,'新北每日數據'!B122,"")</x:f>
        <x:v>46863</x:v>
      </x:c>
      <x:c r="D122" s="44" t="n">
        <x:f>IF(COUNT(B122:C122)=2,SUM(B122:C122),"")</x:f>
        <x:v>118085</x:v>
      </x:c>
      <x:c r="E122" s="44" t="n">
        <x:f>IF(COUNT('台北每日數據'!C122:D122)=2,'台北每日數據'!G122,"")</x:f>
        <x:v>481</x:v>
      </x:c>
      <x:c r="F122" s="44" t="n">
        <x:f>IF(COUNT('新北每日數據'!C122:D122)=2,'新北每日數據'!G122,"")</x:f>
        <x:v>305</x:v>
      </x:c>
      <x:c r="G122" s="44" t="n">
        <x:f>IF(COUNT(E122:F122)=2,SUM(E122:F122),"")</x:f>
        <x:v>786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43" t="n">
        <x:f>'台北每日數據'!A123</x:f>
        <x:v>45955</x:v>
      </x:c>
      <x:c r="B123" s="44" t="n">
        <x:f>IF(COUNT('台北每日數據'!C123:D123)=2,'台北每日數據'!B123,"")</x:f>
        <x:v>126626</x:v>
      </x:c>
      <x:c r="C123" s="44" t="n">
        <x:f>IF(COUNT('新北每日數據'!C123:D123)=2,'新北每日數據'!B123,"")</x:f>
        <x:v>79138</x:v>
      </x:c>
      <x:c r="D123" s="44" t="n">
        <x:f>IF(COUNT(B123:C123)=2,SUM(B123:C123),"")</x:f>
        <x:v>205764</x:v>
      </x:c>
      <x:c r="E123" s="44" t="n">
        <x:f>IF(COUNT('台北每日數據'!C123:D123)=2,'台北每日數據'!G123,"")</x:f>
        <x:v>851</x:v>
      </x:c>
      <x:c r="F123" s="44" t="n">
        <x:f>IF(COUNT('新北每日數據'!C123:D123)=2,'新北每日數據'!G123,"")</x:f>
        <x:v>514</x:v>
      </x:c>
      <x:c r="G123" s="44" t="n">
        <x:f>IF(COUNT(E123:F123)=2,SUM(E123:F123),"")</x:f>
        <x:v>1365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43" t="n">
        <x:f>'台北每日數據'!A124</x:f>
        <x:v>45956</x:v>
      </x:c>
      <x:c r="B124" s="44" t="n">
        <x:f>IF(COUNT('台北每日數據'!C124:D124)=2,'台北每日數據'!B124,"")</x:f>
        <x:v>187095</x:v>
      </x:c>
      <x:c r="C124" s="44" t="n">
        <x:f>IF(COUNT('新北每日數據'!C124:D124)=2,'新北每日數據'!B124,"")</x:f>
        <x:v>100636</x:v>
      </x:c>
      <x:c r="D124" s="44" t="n">
        <x:f>IF(COUNT(B124:C124)=2,SUM(B124:C124),"")</x:f>
        <x:v>287731</x:v>
      </x:c>
      <x:c r="E124" s="44" t="n">
        <x:f>IF(COUNT('台北每日數據'!C124:D124)=2,'台北每日數據'!G124,"")</x:f>
        <x:v>1317</x:v>
      </x:c>
      <x:c r="F124" s="44" t="n">
        <x:f>IF(COUNT('新北每日數據'!C124:D124)=2,'新北每日數據'!G124,"")</x:f>
        <x:v>774</x:v>
      </x:c>
      <x:c r="G124" s="44" t="n">
        <x:f>IF(COUNT(E124:F124)=2,SUM(E124:F124),"")</x:f>
        <x:v>2091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43" t="n">
        <x:f>'台北每日數據'!A125</x:f>
        <x:v>45957</x:v>
      </x:c>
      <x:c r="B125" s="44" t="n">
        <x:f>IF(COUNT('台北每日數據'!C125:D125)=2,'台北每日數據'!B125,"")</x:f>
        <x:v>218500</x:v>
      </x:c>
      <x:c r="C125" s="44" t="n">
        <x:f>IF(COUNT('新北每日數據'!C125:D125)=2,'新北每日數據'!B125,"")</x:f>
        <x:v>111587</x:v>
      </x:c>
      <x:c r="D125" s="44" t="n">
        <x:f>IF(COUNT(B125:C125)=2,SUM(B125:C125),"")</x:f>
        <x:v>330087</x:v>
      </x:c>
      <x:c r="E125" s="44" t="n">
        <x:f>IF(COUNT('台北每日數據'!C125:D125)=2,'台北每日數據'!G125,"")</x:f>
        <x:v>1364</x:v>
      </x:c>
      <x:c r="F125" s="44" t="n">
        <x:f>IF(COUNT('新北每日數據'!C125:D125)=2,'新北每日數據'!G125,"")</x:f>
        <x:v>764</x:v>
      </x:c>
      <x:c r="G125" s="44" t="n">
        <x:f>IF(COUNT(E125:F125)=2,SUM(E125:F125),"")</x:f>
        <x:v>2128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43" t="n">
        <x:f>'台北每日數據'!A126</x:f>
        <x:v>45958</x:v>
      </x:c>
      <x:c r="B126" s="44" t="n">
        <x:f>IF(COUNT('台北每日數據'!C126:D126)=2,'台北每日數據'!B126,"")</x:f>
        <x:v>101100</x:v>
      </x:c>
      <x:c r="C126" s="44" t="n">
        <x:f>IF(COUNT('新北每日數據'!C126:D126)=2,'新北每日數據'!B126,"")</x:f>
        <x:v>58305</x:v>
      </x:c>
      <x:c r="D126" s="44" t="n">
        <x:f>IF(COUNT(B126:C126)=2,SUM(B126:C126),"")</x:f>
        <x:v>159405</x:v>
      </x:c>
      <x:c r="E126" s="44" t="n">
        <x:f>IF(COUNT('台北每日數據'!C126:D126)=2,'台北每日數據'!G126,"")</x:f>
        <x:v>578</x:v>
      </x:c>
      <x:c r="F126" s="44" t="n">
        <x:f>IF(COUNT('新北每日數據'!C126:D126)=2,'新北每日數據'!G126,"")</x:f>
        <x:v>343</x:v>
      </x:c>
      <x:c r="G126" s="44" t="n">
        <x:f>IF(COUNT(E126:F126)=2,SUM(E126:F126),"")</x:f>
        <x:v>921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43" t="n">
        <x:f>'台北每日數據'!A127</x:f>
        <x:v>45959</x:v>
      </x:c>
      <x:c r="B127" s="44" t="n">
        <x:f>IF(COUNT('台北每日數據'!C127:D127)=2,'台北每日數據'!B127,"")</x:f>
        <x:v>271228</x:v>
      </x:c>
      <x:c r="C127" s="44" t="n">
        <x:f>IF(COUNT('新北每日數據'!C127:D127)=2,'新北每日數據'!B127,"")</x:f>
        <x:v>134332</x:v>
      </x:c>
      <x:c r="D127" s="44" t="n">
        <x:f>IF(COUNT(B127:C127)=2,SUM(B127:C127),"")</x:f>
        <x:v>405560</x:v>
      </x:c>
      <x:c r="E127" s="44" t="n">
        <x:f>IF(COUNT('台北每日數據'!C127:D127)=2,'台北每日數據'!G127,"")</x:f>
        <x:v>1831</x:v>
      </x:c>
      <x:c r="F127" s="44" t="n">
        <x:f>IF(COUNT('新北每日數據'!C127:D127)=2,'新北每日數據'!G127,"")</x:f>
        <x:v>995</x:v>
      </x:c>
      <x:c r="G127" s="44" t="n">
        <x:f>IF(COUNT(E127:F127)=2,SUM(E127:F127),"")</x:f>
        <x:v>2826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43" t="n">
        <x:f>'台北每日數據'!A128</x:f>
        <x:v>45960</x:v>
      </x:c>
      <x:c r="B128" s="44" t="n">
        <x:f>IF(COUNT('台北每日數據'!C128:D128)=2,'台北每日數據'!B128,"")</x:f>
        <x:v>288248</x:v>
      </x:c>
      <x:c r="C128" s="44" t="n">
        <x:f>IF(COUNT('新北每日數據'!C128:D128)=2,'新北每日數據'!B128,"")</x:f>
        <x:v>140829</x:v>
      </x:c>
      <x:c r="D128" s="44" t="n">
        <x:f>IF(COUNT(B128:C128)=2,SUM(B128:C128),"")</x:f>
        <x:v>429077</x:v>
      </x:c>
      <x:c r="E128" s="44" t="n">
        <x:f>IF(COUNT('台北每日數據'!C128:D128)=2,'台北每日數據'!G128,"")</x:f>
        <x:v>2315</x:v>
      </x:c>
      <x:c r="F128" s="44" t="n">
        <x:f>IF(COUNT('新北每日數據'!C128:D128)=2,'新北每日數據'!G128,"")</x:f>
        <x:v>1266</x:v>
      </x:c>
      <x:c r="G128" s="44" t="n">
        <x:f>IF(COUNT(E128:F128)=2,SUM(E128:F128),"")</x:f>
        <x:v>3581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43" t="n">
        <x:f>'台北每日數據'!A129</x:f>
        <x:v>45961</x:v>
      </x:c>
      <x:c r="B129" s="44" t="n">
        <x:f>IF(COUNT('台北每日數據'!C129:D129)=2,'台北每日數據'!B129,"")</x:f>
        <x:v>294560</x:v>
      </x:c>
      <x:c r="C129" s="44" t="n">
        <x:f>IF(COUNT('新北每日數據'!C129:D129)=2,'新北每日數據'!B129,"")</x:f>
        <x:v>147192</x:v>
      </x:c>
      <x:c r="D129" s="44" t="n">
        <x:f>IF(COUNT(B129:C129)=2,SUM(B129:C129),"")</x:f>
        <x:v>441752</x:v>
      </x:c>
      <x:c r="E129" s="44" t="n">
        <x:f>IF(COUNT('台北每日數據'!C129:D129)=2,'台北每日數據'!G129,"")</x:f>
        <x:v>2706</x:v>
      </x:c>
      <x:c r="F129" s="44" t="n">
        <x:f>IF(COUNT('新北每日數據'!C129:D129)=2,'新北每日數據'!G129,"")</x:f>
        <x:v>1424</x:v>
      </x:c>
      <x:c r="G129" s="44" t="n">
        <x:f>IF(COUNT(E129:F129)=2,SUM(E129:F129),"")</x:f>
        <x:v>4130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43" t="n">
        <x:f>'台北每日數據'!A130</x:f>
        <x:v>45962</x:v>
      </x:c>
      <x:c r="B130" s="44" t="n">
        <x:f>IF(COUNT('台北每日數據'!C130:D130)=2,'台北每日數據'!B130,"")</x:f>
        <x:v>223023</x:v>
      </x:c>
      <x:c r="C130" s="44" t="n">
        <x:f>IF(COUNT('新北每日數據'!C130:D130)=2,'新北每日數據'!B130,"")</x:f>
        <x:v>128018</x:v>
      </x:c>
      <x:c r="D130" s="44" t="n">
        <x:f>IF(COUNT(B130:C130)=2,SUM(B130:C130),"")</x:f>
        <x:v>351041</x:v>
      </x:c>
      <x:c r="E130" s="44" t="n">
        <x:f>IF(COUNT('台北每日數據'!C130:D130)=2,'台北每日數據'!G130,"")</x:f>
        <x:v>1143</x:v>
      </x:c>
      <x:c r="F130" s="44" t="n">
        <x:f>IF(COUNT('新北每日數據'!C130:D130)=2,'新北每日數據'!G130,"")</x:f>
        <x:v>820</x:v>
      </x:c>
      <x:c r="G130" s="44" t="n">
        <x:f>IF(COUNT(E130:F130)=2,SUM(E130:F130),"")</x:f>
        <x:v>1963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43" t="n">
        <x:f>'台北每日數據'!A131</x:f>
        <x:v>45963</x:v>
      </x:c>
      <x:c r="B131" s="44" t="n">
        <x:f>IF(COUNT('台北每日數據'!C131:D131)=2,'台北每日數據'!B131,"")</x:f>
        <x:v>168143</x:v>
      </x:c>
      <x:c r="C131" s="44" t="n">
        <x:f>IF(COUNT('新北每日數據'!C131:D131)=2,'新北每日數據'!B131,"")</x:f>
        <x:v>97787</x:v>
      </x:c>
      <x:c r="D131" s="44" t="n">
        <x:f>IF(COUNT(B131:C131)=2,SUM(B131:C131),"")</x:f>
        <x:v>265930</x:v>
      </x:c>
      <x:c r="E131" s="44" t="n">
        <x:f>IF(COUNT('台北每日數據'!C131:D131)=2,'台北每日數據'!G131,"")</x:f>
        <x:v>790</x:v>
      </x:c>
      <x:c r="F131" s="44" t="n">
        <x:f>IF(COUNT('新北每日數據'!C131:D131)=2,'新北每日數據'!G131,"")</x:f>
        <x:v>550</x:v>
      </x:c>
      <x:c r="G131" s="44" t="n">
        <x:f>IF(COUNT(E131:F131)=2,SUM(E131:F131),"")</x:f>
        <x:v>1340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43" t="n">
        <x:f>'台北每日數據'!A132</x:f>
        <x:v>45964</x:v>
      </x:c>
      <x:c r="B132" s="44" t="n">
        <x:f>IF(COUNT('台北每日數據'!C132:D132)=2,'台北每日數據'!B132,"")</x:f>
        <x:v>155420</x:v>
      </x:c>
      <x:c r="C132" s="44" t="n">
        <x:f>IF(COUNT('新北每日數據'!C132:D132)=2,'新北每日數據'!B132,"")</x:f>
        <x:v>84812</x:v>
      </x:c>
      <x:c r="D132" s="44" t="n">
        <x:f>IF(COUNT(B132:C132)=2,SUM(B132:C132),"")</x:f>
        <x:v>240232</x:v>
      </x:c>
      <x:c r="E132" s="44" t="n">
        <x:f>IF(COUNT('台北每日數據'!C132:D132)=2,'台北每日數據'!G132,"")</x:f>
        <x:v>686</x:v>
      </x:c>
      <x:c r="F132" s="44" t="n">
        <x:f>IF(COUNT('新北每日數據'!C132:D132)=2,'新北每日數據'!G132,"")</x:f>
        <x:v>459</x:v>
      </x:c>
      <x:c r="G132" s="44" t="n">
        <x:f>IF(COUNT(E132:F132)=2,SUM(E132:F132),"")</x:f>
        <x:v>1145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43" t="n">
        <x:f>'台北每日數據'!A133</x:f>
        <x:v>45965</x:v>
      </x:c>
      <x:c r="B133" s="44" t="n">
        <x:f>IF(COUNT('台北每日數據'!C133:D133)=2,'台北每日數據'!B133,"")</x:f>
        <x:v>214450</x:v>
      </x:c>
      <x:c r="C133" s="44" t="n">
        <x:f>IF(COUNT('新北每日數據'!C133:D133)=2,'新北每日數據'!B133,"")</x:f>
        <x:v>110203</x:v>
      </x:c>
      <x:c r="D133" s="44" t="n">
        <x:f>IF(COUNT(B133:C133)=2,SUM(B133:C133),"")</x:f>
        <x:v>324653</x:v>
      </x:c>
      <x:c r="E133" s="44" t="n">
        <x:f>IF(COUNT('台北每日數據'!C133:D133)=2,'台北每日數據'!G133,"")</x:f>
        <x:v>973</x:v>
      </x:c>
      <x:c r="F133" s="44" t="n">
        <x:f>IF(COUNT('新北每日數據'!C133:D133)=2,'新北每日數據'!G133,"")</x:f>
        <x:v>655</x:v>
      </x:c>
      <x:c r="G133" s="44" t="n">
        <x:f>IF(COUNT(E133:F133)=2,SUM(E133:F133),"")</x:f>
        <x:v>1628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43" t="n">
        <x:f>'台北每日數據'!A134</x:f>
        <x:v>45966</x:v>
      </x:c>
      <x:c r="B134" s="44" t="n">
        <x:f>IF(COUNT('台北每日數據'!C134:D134)=2,'台北每日數據'!B134,"")</x:f>
        <x:v>258646</x:v>
      </x:c>
      <x:c r="C134" s="44" t="n">
        <x:f>IF(COUNT('新北每日數據'!C134:D134)=2,'新北每日數據'!B134,"")</x:f>
        <x:v>130547</x:v>
      </x:c>
      <x:c r="D134" s="44" t="n">
        <x:f>IF(COUNT(B134:C134)=2,SUM(B134:C134),"")</x:f>
        <x:v>389193</x:v>
      </x:c>
      <x:c r="E134" s="44" t="n">
        <x:f>IF(COUNT('台北每日數據'!C134:D134)=2,'台北每日數據'!G134,"")</x:f>
        <x:v>1128</x:v>
      </x:c>
      <x:c r="F134" s="44" t="n">
        <x:f>IF(COUNT('新北每日數據'!C134:D134)=2,'新北每日數據'!G134,"")</x:f>
        <x:v>781</x:v>
      </x:c>
      <x:c r="G134" s="44" t="n">
        <x:f>IF(COUNT(E134:F134)=2,SUM(E134:F134),"")</x:f>
        <x:v>1909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43" t="n">
        <x:f>'台北每日數據'!A135</x:f>
        <x:v>45967</x:v>
      </x:c>
      <x:c r="B135" s="44" t="n">
        <x:f>IF(COUNT('台北每日數據'!C135:D135)=2,'台北每日數據'!B135,"")</x:f>
        <x:v>295691</x:v>
      </x:c>
      <x:c r="C135" s="44" t="n">
        <x:f>IF(COUNT('新北每日數據'!C135:D135)=2,'新北每日數據'!B135,"")</x:f>
        <x:v>141922</x:v>
      </x:c>
      <x:c r="D135" s="44" t="n">
        <x:f>IF(COUNT(B135:C135)=2,SUM(B135:C135),"")</x:f>
        <x:v>437613</x:v>
      </x:c>
      <x:c r="E135" s="44" t="n">
        <x:f>IF(COUNT('台北每日數據'!C135:D135)=2,'台北每日數據'!G135,"")</x:f>
        <x:v>1428</x:v>
      </x:c>
      <x:c r="F135" s="44" t="n">
        <x:f>IF(COUNT('新北每日數據'!C135:D135)=2,'新北每日數據'!G135,"")</x:f>
        <x:v>859</x:v>
      </x:c>
      <x:c r="G135" s="44" t="n">
        <x:f>IF(COUNT(E135:F135)=2,SUM(E135:F135),"")</x:f>
        <x:v>2287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43" t="n">
        <x:f>'台北每日數據'!A136</x:f>
        <x:v>45968</x:v>
      </x:c>
      <x:c r="B136" s="44" t="n">
        <x:f>IF(COUNT('台北每日數據'!C136:D136)=2,'台北每日數據'!B136,"")</x:f>
        <x:v>303100</x:v>
      </x:c>
      <x:c r="C136" s="44" t="n">
        <x:f>IF(COUNT('新北每日數據'!C136:D136)=2,'新北每日數據'!B136,"")</x:f>
        <x:v>151623</x:v>
      </x:c>
      <x:c r="D136" s="44" t="n">
        <x:f>IF(COUNT(B136:C136)=2,SUM(B136:C136),"")</x:f>
        <x:v>454723</x:v>
      </x:c>
      <x:c r="E136" s="44" t="n">
        <x:f>IF(COUNT('台北每日數據'!C136:D136)=2,'台北每日數據'!G136,"")</x:f>
        <x:v>1483</x:v>
      </x:c>
      <x:c r="F136" s="44" t="n">
        <x:f>IF(COUNT('新北每日數據'!C136:D136)=2,'新北每日數據'!G136,"")</x:f>
        <x:v>895</x:v>
      </x:c>
      <x:c r="G136" s="44" t="n">
        <x:f>IF(COUNT(E136:F136)=2,SUM(E136:F136),"")</x:f>
        <x:v>2378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43" t="n">
        <x:f>'台北每日數據'!A137</x:f>
        <x:v>45969</x:v>
      </x:c>
      <x:c r="B137" s="44" t="n">
        <x:f>IF(COUNT('台北每日數據'!C137:D137)=2,'台北每日數據'!B137,"")</x:f>
        <x:v>265022</x:v>
      </x:c>
      <x:c r="C137" s="44" t="n">
        <x:f>IF(COUNT('新北每日數據'!C137:D137)=2,'新北每日數據'!B137,"")</x:f>
        <x:v>151586</x:v>
      </x:c>
      <x:c r="D137" s="44" t="n">
        <x:f>IF(COUNT(B137:C137)=2,SUM(B137:C137),"")</x:f>
        <x:v>416608</x:v>
      </x:c>
      <x:c r="E137" s="44" t="n">
        <x:f>IF(COUNT('台北每日數據'!C137:D137)=2,'台北每日數據'!G137,"")</x:f>
        <x:v>1445</x:v>
      </x:c>
      <x:c r="F137" s="44" t="n">
        <x:f>IF(COUNT('新北每日數據'!C137:D137)=2,'新北每日數據'!G137,"")</x:f>
        <x:v>939</x:v>
      </x:c>
      <x:c r="G137" s="44" t="n">
        <x:f>IF(COUNT(E137:F137)=2,SUM(E137:F137),"")</x:f>
        <x:v>2384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43" t="n">
        <x:f>'台北每日數據'!A138</x:f>
        <x:v>45970</x:v>
      </x:c>
      <x:c r="B138" s="44" t="n">
        <x:f>IF(COUNT('台北每日數據'!C138:D138)=2,'台北每日數據'!B138,"")</x:f>
        <x:v>215240</x:v>
      </x:c>
      <x:c r="C138" s="44" t="n">
        <x:f>IF(COUNT('新北每日數據'!C138:D138)=2,'新北每日數據'!B138,"")</x:f>
        <x:v>127782</x:v>
      </x:c>
      <x:c r="D138" s="44" t="n">
        <x:f>IF(COUNT(B138:C138)=2,SUM(B138:C138),"")</x:f>
        <x:v>343022</x:v>
      </x:c>
      <x:c r="E138" s="44" t="n">
        <x:f>IF(COUNT('台北每日數據'!C138:D138)=2,'台北每日數據'!G138,"")</x:f>
        <x:v>1253</x:v>
      </x:c>
      <x:c r="F138" s="44" t="n">
        <x:f>IF(COUNT('新北每日數據'!C138:D138)=2,'新北每日數據'!G138,"")</x:f>
        <x:v>826</x:v>
      </x:c>
      <x:c r="G138" s="44" t="n">
        <x:f>IF(COUNT(E138:F138)=2,SUM(E138:F138),"")</x:f>
        <x:v>2079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43" t="n">
        <x:f>'台北每日數據'!A139</x:f>
        <x:v>45971</x:v>
      </x:c>
      <x:c r="B139" s="44" t="n">
        <x:f>IF(COUNT('台北每日數據'!C139:D139)=2,'台北每日數據'!B139,"")</x:f>
        <x:v>84176</x:v>
      </x:c>
      <x:c r="C139" s="44" t="n">
        <x:f>IF(COUNT('新北每日數據'!C139:D139)=2,'新北每日數據'!B139,"")</x:f>
        <x:v>64868</x:v>
      </x:c>
      <x:c r="D139" s="44" t="n">
        <x:f>IF(COUNT(B139:C139)=2,SUM(B139:C139),"")</x:f>
        <x:v>149044</x:v>
      </x:c>
      <x:c r="E139" s="44" t="n">
        <x:f>IF(COUNT('台北每日數據'!C139:D139)=2,'台北每日數據'!G139,"")</x:f>
        <x:v>433</x:v>
      </x:c>
      <x:c r="F139" s="44" t="n">
        <x:f>IF(COUNT('新北每日數據'!C139:D139)=2,'新北每日數據'!G139,"")</x:f>
        <x:v>301</x:v>
      </x:c>
      <x:c r="G139" s="44" t="n">
        <x:f>IF(COUNT(E139:F139)=2,SUM(E139:F139),"")</x:f>
        <x:v>734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43" t="n">
        <x:f>'台北每日數據'!A140</x:f>
        <x:v>45972</x:v>
      </x:c>
      <x:c r="B140" s="44" t="n">
        <x:f>IF(COUNT('台北每日數據'!C140:D140)=2,'台北每日數據'!B140,"")</x:f>
        <x:v>73277</x:v>
      </x:c>
      <x:c r="C140" s="44" t="n">
        <x:f>IF(COUNT('新北每日數據'!C140:D140)=2,'新北每日數據'!B140,"")</x:f>
        <x:v>62698</x:v>
      </x:c>
      <x:c r="D140" s="44" t="n">
        <x:f>IF(COUNT(B140:C140)=2,SUM(B140:C140),"")</x:f>
        <x:v>135975</x:v>
      </x:c>
      <x:c r="E140" s="44" t="n">
        <x:f>IF(COUNT('台北每日數據'!C140:D140)=2,'台北每日數據'!G140,"")</x:f>
        <x:v>377</x:v>
      </x:c>
      <x:c r="F140" s="44" t="n">
        <x:f>IF(COUNT('新北每日數據'!C140:D140)=2,'新北每日數據'!G140,"")</x:f>
        <x:v>275</x:v>
      </x:c>
      <x:c r="G140" s="44" t="n">
        <x:f>IF(COUNT(E140:F140)=2,SUM(E140:F140),"")</x:f>
        <x:v>652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43" t="n">
        <x:f>'台北每日數據'!A141</x:f>
        <x:v>45973</x:v>
      </x:c>
      <x:c r="B141" s="44" t="n">
        <x:f>IF(COUNT('台北每日數據'!C141:D141)=2,'台北每日數據'!B141,"")</x:f>
        <x:v>253843</x:v>
      </x:c>
      <x:c r="C141" s="44" t="n">
        <x:f>IF(COUNT('新北每日數據'!C141:D141)=2,'新北每日數據'!B141,"")</x:f>
        <x:v>109822</x:v>
      </x:c>
      <x:c r="D141" s="44" t="n">
        <x:f>IF(COUNT(B141:C141)=2,SUM(B141:C141),"")</x:f>
        <x:v>363665</x:v>
      </x:c>
      <x:c r="E141" s="44" t="n">
        <x:f>IF(COUNT('台北每日數據'!C141:D141)=2,'台北每日數據'!G141,"")</x:f>
        <x:v>1277</x:v>
      </x:c>
      <x:c r="F141" s="44" t="n">
        <x:f>IF(COUNT('新北每日數據'!C141:D141)=2,'新北每日數據'!G141,"")</x:f>
        <x:v>677</x:v>
      </x:c>
      <x:c r="G141" s="44" t="n">
        <x:f>IF(COUNT(E141:F141)=2,SUM(E141:F141),"")</x:f>
        <x:v>1954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43" t="n">
        <x:f>'台北每日數據'!A142</x:f>
        <x:v>45974</x:v>
      </x:c>
      <x:c r="B142" s="44" t="n">
        <x:f>IF(COUNT('台北每日數據'!C142:D142)=2,'台北每日數據'!B142,"")</x:f>
        <x:v>123983</x:v>
      </x:c>
      <x:c r="C142" s="44" t="n">
        <x:f>IF(COUNT('新北每日數據'!C142:D142)=2,'新北每日數據'!B142,"")</x:f>
        <x:v>52679</x:v>
      </x:c>
      <x:c r="D142" s="44" t="n">
        <x:f>IF(COUNT(B142:C142)=2,SUM(B142:C142),"")</x:f>
        <x:v>176662</x:v>
      </x:c>
      <x:c r="E142" s="44" t="n">
        <x:f>IF(COUNT('台北每日數據'!C142:D142)=2,'台北每日數據'!G142,"")</x:f>
        <x:v>504</x:v>
      </x:c>
      <x:c r="F142" s="44" t="n">
        <x:f>IF(COUNT('新北每日數據'!C142:D142)=2,'新北每日數據'!G142,"")</x:f>
        <x:v>268</x:v>
      </x:c>
      <x:c r="G142" s="44" t="n">
        <x:f>IF(COUNT(E142:F142)=2,SUM(E142:F142),"")</x:f>
        <x:v>772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43" t="n">
        <x:f>'台北每日數據'!A143</x:f>
        <x:v>45975</x:v>
      </x:c>
      <x:c r="B143" s="44" t="n">
        <x:f>IF(COUNT('台北每日數據'!C143:D143)=2,'台北每日數據'!B143,"")</x:f>
        <x:v>298849</x:v>
      </x:c>
      <x:c r="C143" s="44" t="n">
        <x:f>IF(COUNT('新北每日數據'!C143:D143)=2,'新北每日數據'!B143,"")</x:f>
        <x:v>146157</x:v>
      </x:c>
      <x:c r="D143" s="44" t="n">
        <x:f>IF(COUNT(B143:C143)=2,SUM(B143:C143),"")</x:f>
        <x:v>445006</x:v>
      </x:c>
      <x:c r="E143" s="44" t="n">
        <x:f>IF(COUNT('台北每日數據'!C143:D143)=2,'台北每日數據'!G143,"")</x:f>
        <x:v>1658</x:v>
      </x:c>
      <x:c r="F143" s="44" t="n">
        <x:f>IF(COUNT('新北每日數據'!C143:D143)=2,'新北每日數據'!G143,"")</x:f>
        <x:v>969</x:v>
      </x:c>
      <x:c r="G143" s="44" t="n">
        <x:f>IF(COUNT(E143:F143)=2,SUM(E143:F143),"")</x:f>
        <x:v>2627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43" t="n">
        <x:f>'台北每日數據'!A144</x:f>
        <x:v>45976</x:v>
      </x:c>
      <x:c r="B144" s="44" t="n">
        <x:f>IF(COUNT('台北每日數據'!C144:D144)=2,'台北每日數據'!B144,"")</x:f>
        <x:v>271284</x:v>
      </x:c>
      <x:c r="C144" s="44" t="n">
        <x:f>IF(COUNT('新北每日數據'!C144:D144)=2,'新北每日數據'!B144,"")</x:f>
        <x:v>149258</x:v>
      </x:c>
      <x:c r="D144" s="44" t="n">
        <x:f>IF(COUNT(B144:C144)=2,SUM(B144:C144),"")</x:f>
        <x:v>420542</x:v>
      </x:c>
      <x:c r="E144" s="44" t="n">
        <x:f>IF(COUNT('台北每日數據'!C144:D144)=2,'台北每日數據'!G144,"")</x:f>
        <x:v>1615</x:v>
      </x:c>
      <x:c r="F144" s="44" t="n">
        <x:f>IF(COUNT('新北每日數據'!C144:D144)=2,'新北每日數據'!G144,"")</x:f>
        <x:v>979</x:v>
      </x:c>
      <x:c r="G144" s="44" t="n">
        <x:f>IF(COUNT(E144:F144)=2,SUM(E144:F144),"")</x:f>
        <x:v>2594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43" t="n">
        <x:f>'台北每日數據'!A145</x:f>
        <x:v>45977</x:v>
      </x:c>
      <x:c r="B145" s="44" t="n">
        <x:f>IF(COUNT('台北每日數據'!C145:D145)=2,'台北每日數據'!B145,"")</x:f>
        <x:v>246056</x:v>
      </x:c>
      <x:c r="C145" s="44" t="n">
        <x:f>IF(COUNT('新北每日數據'!C145:D145)=2,'新北每日數據'!B145,"")</x:f>
        <x:v>137363</x:v>
      </x:c>
      <x:c r="D145" s="44" t="n">
        <x:f>IF(COUNT(B145:C145)=2,SUM(B145:C145),"")</x:f>
        <x:v>383419</x:v>
      </x:c>
      <x:c r="E145" s="44" t="n">
        <x:f>IF(COUNT('台北每日數據'!C145:D145)=2,'台北每日數據'!G145,"")</x:f>
        <x:v>1407</x:v>
      </x:c>
      <x:c r="F145" s="44" t="n">
        <x:f>IF(COUNT('新北每日數據'!C145:D145)=2,'新北每日數據'!G145,"")</x:f>
        <x:v>977</x:v>
      </x:c>
      <x:c r="G145" s="44" t="n">
        <x:f>IF(COUNT(E145:F145)=2,SUM(E145:F145),"")</x:f>
        <x:v>2384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43" t="n">
        <x:f>'台北每日數據'!A146</x:f>
        <x:v>45978</x:v>
      </x:c>
      <x:c r="B146" s="44" t="n">
        <x:f>IF(COUNT('台北每日數據'!C146:D146)=2,'台北每日數據'!B146,"")</x:f>
        <x:v>165673</x:v>
      </x:c>
      <x:c r="C146" s="44" t="n">
        <x:f>IF(COUNT('新北每日數據'!C146:D146)=2,'新北每日數據'!B146,"")</x:f>
        <x:v>76409</x:v>
      </x:c>
      <x:c r="D146" s="44" t="n">
        <x:f>IF(COUNT(B146:C146)=2,SUM(B146:C146),"")</x:f>
        <x:v>242082</x:v>
      </x:c>
      <x:c r="E146" s="44" t="n">
        <x:f>IF(COUNT('台北每日數據'!C146:D146)=2,'台北每日數據'!G146,"")</x:f>
        <x:v>745</x:v>
      </x:c>
      <x:c r="F146" s="44" t="n">
        <x:f>IF(COUNT('新北每日數據'!C146:D146)=2,'新北每日數據'!G146,"")</x:f>
        <x:v>457</x:v>
      </x:c>
      <x:c r="G146" s="44" t="n">
        <x:f>IF(COUNT(E146:F146)=2,SUM(E146:F146),"")</x:f>
        <x:v>1202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43" t="n">
        <x:f>'台北每日數據'!A147</x:f>
        <x:v>45979</x:v>
      </x:c>
      <x:c r="B147" s="44" t="n">
        <x:f>IF(COUNT('台北每日數據'!C147:D147)=2,'台北每日數據'!B147,"")</x:f>
        <x:v>161474</x:v>
      </x:c>
      <x:c r="C147" s="44" t="n">
        <x:f>IF(COUNT('新北每日數據'!C147:D147)=2,'新北每日數據'!B147,"")</x:f>
        <x:v>76417</x:v>
      </x:c>
      <x:c r="D147" s="44" t="n">
        <x:f>IF(COUNT(B147:C147)=2,SUM(B147:C147),"")</x:f>
        <x:v>237891</x:v>
      </x:c>
      <x:c r="E147" s="44" t="n">
        <x:f>IF(COUNT('台北每日數據'!C147:D147)=2,'台北每日數據'!G147,"")</x:f>
        <x:v>658</x:v>
      </x:c>
      <x:c r="F147" s="44" t="n">
        <x:f>IF(COUNT('新北每日數據'!C147:D147)=2,'新北每日數據'!G147,"")</x:f>
        <x:v>428</x:v>
      </x:c>
      <x:c r="G147" s="44" t="n">
        <x:f>IF(COUNT(E147:F147)=2,SUM(E147:F147),"")</x:f>
        <x:v>1086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43" t="n">
        <x:f>'台北每日數據'!A148</x:f>
        <x:v>45980</x:v>
      </x:c>
      <x:c r="B148" s="44" t="n">
        <x:f>IF(COUNT('台北每日數據'!C148:D148)=2,'台北每日數據'!B148,"")</x:f>
        <x:v>252533</x:v>
      </x:c>
      <x:c r="C148" s="44" t="n">
        <x:f>IF(COUNT('新北每日數據'!C148:D148)=2,'新北每日數據'!B148,"")</x:f>
        <x:v>117319</x:v>
      </x:c>
      <x:c r="D148" s="44" t="n">
        <x:f>IF(COUNT(B148:C148)=2,SUM(B148:C148),"")</x:f>
        <x:v>369852</x:v>
      </x:c>
      <x:c r="E148" s="44" t="n">
        <x:f>IF(COUNT('台北每日數據'!C148:D148)=2,'台北每日數據'!G148,"")</x:f>
        <x:v>1187</x:v>
      </x:c>
      <x:c r="F148" s="44" t="n">
        <x:f>IF(COUNT('新北每日數據'!C148:D148)=2,'新北每日數據'!G148,"")</x:f>
        <x:v>605</x:v>
      </x:c>
      <x:c r="G148" s="44" t="n">
        <x:f>IF(COUNT(E148:F148)=2,SUM(E148:F148),"")</x:f>
        <x:v>1792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43" t="n">
        <x:f>'台北每日數據'!A149</x:f>
        <x:v>45981</x:v>
      </x:c>
      <x:c r="B149" s="44" t="n">
        <x:f>IF(COUNT('台北每日數據'!C149:D149)=2,'台北每日數據'!B149,"")</x:f>
        <x:v>274243</x:v>
      </x:c>
      <x:c r="C149" s="44" t="n">
        <x:f>IF(COUNT('新北每日數據'!C149:D149)=2,'新北每日數據'!B149,"")</x:f>
        <x:v>130799</x:v>
      </x:c>
      <x:c r="D149" s="44" t="n">
        <x:f>IF(COUNT(B149:C149)=2,SUM(B149:C149),"")</x:f>
        <x:v>405042</x:v>
      </x:c>
      <x:c r="E149" s="44" t="n">
        <x:f>IF(COUNT('台北每日數據'!C149:D149)=2,'台北每日數據'!G149,"")</x:f>
        <x:v>1504</x:v>
      </x:c>
      <x:c r="F149" s="44" t="n">
        <x:f>IF(COUNT('新北每日數據'!C149:D149)=2,'新北每日數據'!G149,"")</x:f>
        <x:v>870</x:v>
      </x:c>
      <x:c r="G149" s="44" t="n">
        <x:f>IF(COUNT(E149:F149)=2,SUM(E149:F149),"")</x:f>
        <x:v>2374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43" t="n">
        <x:f>'台北每日數據'!A150</x:f>
        <x:v>45982</x:v>
      </x:c>
      <x:c r="B150" s="44" t="n">
        <x:f>IF(COUNT('台北每日數據'!C150:D150)=2,'台北每日數據'!B150,"")</x:f>
        <x:v>282520</x:v>
      </x:c>
      <x:c r="C150" s="44" t="n">
        <x:f>IF(COUNT('新北每日數據'!C150:D150)=2,'新北每日數據'!B150,"")</x:f>
        <x:v>139203</x:v>
      </x:c>
      <x:c r="D150" s="44" t="n">
        <x:f>IF(COUNT(B150:C150)=2,SUM(B150:C150),"")</x:f>
        <x:v>421723</x:v>
      </x:c>
      <x:c r="E150" s="44" t="n">
        <x:f>IF(COUNT('台北每日數據'!C150:D150)=2,'台北每日數據'!G150,"")</x:f>
        <x:v>1553</x:v>
      </x:c>
      <x:c r="F150" s="44" t="n">
        <x:f>IF(COUNT('新北每日數據'!C150:D150)=2,'新北每日數據'!G150,"")</x:f>
        <x:v>888</x:v>
      </x:c>
      <x:c r="G150" s="44" t="n">
        <x:f>IF(COUNT(E150:F150)=2,SUM(E150:F150),"")</x:f>
        <x:v>2441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43" t="n">
        <x:f>'台北每日數據'!A151</x:f>
        <x:v>45983</x:v>
      </x:c>
      <x:c r="B151" s="44" t="n">
        <x:f>IF(COUNT('台北每日數據'!C151:D151)=2,'台北每日數據'!B151,"")</x:f>
        <x:v>252910</x:v>
      </x:c>
      <x:c r="C151" s="44" t="n">
        <x:f>IF(COUNT('新北每日數據'!C151:D151)=2,'新北每日數據'!B151,"")</x:f>
        <x:v>143067</x:v>
      </x:c>
      <x:c r="D151" s="44" t="n">
        <x:f>IF(COUNT(B151:C151)=2,SUM(B151:C151),"")</x:f>
        <x:v>395977</x:v>
      </x:c>
      <x:c r="E151" s="44" t="n">
        <x:f>IF(COUNT('台北每日數據'!C151:D151)=2,'台北每日數據'!G151,"")</x:f>
        <x:v>1560</x:v>
      </x:c>
      <x:c r="F151" s="44" t="n">
        <x:f>IF(COUNT('新北每日數據'!C151:D151)=2,'新北每日數據'!G151,"")</x:f>
        <x:v>1020</x:v>
      </x:c>
      <x:c r="G151" s="44" t="n">
        <x:f>IF(COUNT(E151:F151)=2,SUM(E151:F151),"")</x:f>
        <x:v>2580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43" t="n">
        <x:f>'台北每日數據'!A152</x:f>
        <x:v>45984</x:v>
      </x:c>
      <x:c r="B152" s="44" t="n">
        <x:f>IF(COUNT('台北每日數據'!C152:D152)=2,'台北每日數據'!B152,"")</x:f>
        <x:v>237800</x:v>
      </x:c>
      <x:c r="C152" s="44" t="n">
        <x:f>IF(COUNT('新北每日數據'!C152:D152)=2,'新北每日數據'!B152,"")</x:f>
        <x:v>136757</x:v>
      </x:c>
      <x:c r="D152" s="44" t="n">
        <x:f>IF(COUNT(B152:C152)=2,SUM(B152:C152),"")</x:f>
        <x:v>374557</x:v>
      </x:c>
      <x:c r="E152" s="44" t="n">
        <x:f>IF(COUNT('台北每日數據'!C152:D152)=2,'台北每日數據'!G152,"")</x:f>
        <x:v>1640</x:v>
      </x:c>
      <x:c r="F152" s="44" t="n">
        <x:f>IF(COUNT('新北每日數據'!C152:D152)=2,'新北每日數據'!G152,"")</x:f>
        <x:v>1050</x:v>
      </x:c>
      <x:c r="G152" s="44" t="n">
        <x:f>IF(COUNT(E152:F152)=2,SUM(E152:F152),"")</x:f>
        <x:v>2690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43" t="n">
        <x:f>'台北每日數據'!A153</x:f>
        <x:v>45985</x:v>
      </x:c>
      <x:c r="B153" s="44" t="n">
        <x:f>IF(COUNT('台北每日數據'!C153:D153)=2,'台北每日數據'!B153,"")</x:f>
        <x:v>277992</x:v>
      </x:c>
      <x:c r="C153" s="44" t="n">
        <x:f>IF(COUNT('新北每日數據'!C153:D153)=2,'新北每日數據'!B153,"")</x:f>
        <x:v>135938</x:v>
      </x:c>
      <x:c r="D153" s="44" t="n">
        <x:f>IF(COUNT(B153:C153)=2,SUM(B153:C153),"")</x:f>
        <x:v>413930</x:v>
      </x:c>
      <x:c r="E153" s="44" t="n">
        <x:f>IF(COUNT('台北每日數據'!C153:D153)=2,'台北每日數據'!G153,"")</x:f>
        <x:v>1684</x:v>
      </x:c>
      <x:c r="F153" s="44" t="n">
        <x:f>IF(COUNT('新北每日數據'!C153:D153)=2,'新北每日數據'!G153,"")</x:f>
        <x:v>956</x:v>
      </x:c>
      <x:c r="G153" s="44" t="n">
        <x:f>IF(COUNT(E153:F153)=2,SUM(E153:F153),"")</x:f>
        <x:v>2640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43" t="n">
        <x:f>'台北每日數據'!A154</x:f>
        <x:v>45986</x:v>
      </x:c>
      <x:c r="B154" s="44" t="n">
        <x:f>IF(COUNT('台北每日數據'!C154:D154)=2,'台北每日數據'!B154,"")</x:f>
        <x:v>275098</x:v>
      </x:c>
      <x:c r="C154" s="44" t="n">
        <x:f>IF(COUNT('新北每日數據'!C154:D154)=2,'新北每日數據'!B154,"")</x:f>
        <x:v>132524</x:v>
      </x:c>
      <x:c r="D154" s="44" t="n">
        <x:f>IF(COUNT(B154:C154)=2,SUM(B154:C154),"")</x:f>
        <x:v>407622</x:v>
      </x:c>
      <x:c r="E154" s="44" t="n">
        <x:f>IF(COUNT('台北每日數據'!C154:D154)=2,'台北每日數據'!G154,"")</x:f>
        <x:v>1607</x:v>
      </x:c>
      <x:c r="F154" s="44" t="n">
        <x:f>IF(COUNT('新北每日數據'!C154:D154)=2,'新北每日數據'!G154,"")</x:f>
        <x:v>886</x:v>
      </x:c>
      <x:c r="G154" s="44" t="n">
        <x:f>IF(COUNT(E154:F154)=2,SUM(E154:F154),"")</x:f>
        <x:v>2493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43" t="n">
        <x:f>'台北每日數據'!A155</x:f>
        <x:v>45987</x:v>
      </x:c>
      <x:c r="B155" s="44" t="n">
        <x:f>IF(COUNT('台北每日數據'!C155:D155)=2,'台北每日數據'!B155,"")</x:f>
        <x:v>285391</x:v>
      </x:c>
      <x:c r="C155" s="44" t="n">
        <x:f>IF(COUNT('新北每日數據'!C155:D155)=2,'新北每日數據'!B155,"")</x:f>
        <x:v>137765</x:v>
      </x:c>
      <x:c r="D155" s="44" t="n">
        <x:f>IF(COUNT(B155:C155)=2,SUM(B155:C155),"")</x:f>
        <x:v>423156</x:v>
      </x:c>
      <x:c r="E155" s="44" t="n">
        <x:f>IF(COUNT('台北每日數據'!C155:D155)=2,'台北每日數據'!G155,"")</x:f>
        <x:v>1702</x:v>
      </x:c>
      <x:c r="F155" s="44" t="n">
        <x:f>IF(COUNT('新北每日數據'!C155:D155)=2,'新北每日數據'!G155,"")</x:f>
        <x:v>1037</x:v>
      </x:c>
      <x:c r="G155" s="44" t="n">
        <x:f>IF(COUNT(E155:F155)=2,SUM(E155:F155),"")</x:f>
        <x:v>2739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43" t="n">
        <x:f>'台北每日數據'!A156</x:f>
        <x:v>45988</x:v>
      </x:c>
      <x:c r="B156" s="44" t="n">
        <x:f>IF(COUNT('台北每日數據'!C156:D156)=2,'台北每日數據'!B156,"")</x:f>
        <x:v>283211</x:v>
      </x:c>
      <x:c r="C156" s="44" t="n">
        <x:f>IF(COUNT('新北每日數據'!C156:D156)=2,'新北每日數據'!B156,"")</x:f>
        <x:v>136116</x:v>
      </x:c>
      <x:c r="D156" s="44" t="n">
        <x:f>IF(COUNT(B156:C156)=2,SUM(B156:C156),"")</x:f>
        <x:v>419327</x:v>
      </x:c>
      <x:c r="E156" s="44" t="n">
        <x:f>IF(COUNT('台北每日數據'!C156:D156)=2,'台北每日數據'!G156,"")</x:f>
        <x:v>1784</x:v>
      </x:c>
      <x:c r="F156" s="44" t="n">
        <x:f>IF(COUNT('新北每日數據'!C156:D156)=2,'新北每日數據'!G156,"")</x:f>
        <x:v>1007</x:v>
      </x:c>
      <x:c r="G156" s="44" t="n">
        <x:f>IF(COUNT(E156:F156)=2,SUM(E156:F156),"")</x:f>
        <x:v>2791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43" t="n">
        <x:f>'台北每日數據'!A157</x:f>
        <x:v>45989</x:v>
      </x:c>
      <x:c r="B157" s="44" t="n">
        <x:f>IF(COUNT('台北每日數據'!C157:D157)=2,'台北每日數據'!B157,"")</x:f>
        <x:v>293408</x:v>
      </x:c>
      <x:c r="C157" s="44" t="n">
        <x:f>IF(COUNT('新北每日數據'!C157:D157)=2,'新北每日數據'!B157,"")</x:f>
        <x:v>144917</x:v>
      </x:c>
      <x:c r="D157" s="44" t="n">
        <x:f>IF(COUNT(B157:C157)=2,SUM(B157:C157),"")</x:f>
        <x:v>438325</x:v>
      </x:c>
      <x:c r="E157" s="44" t="n">
        <x:f>IF(COUNT('台北每日數據'!C157:D157)=2,'台北每日數據'!G157,"")</x:f>
        <x:v>2055</x:v>
      </x:c>
      <x:c r="F157" s="44" t="n">
        <x:f>IF(COUNT('新北每日數據'!C157:D157)=2,'新北每日數據'!G157,"")</x:f>
        <x:v>1137</x:v>
      </x:c>
      <x:c r="G157" s="44" t="n">
        <x:f>IF(COUNT(E157:F157)=2,SUM(E157:F157),"")</x:f>
        <x:v>3192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43" t="n">
        <x:f>'台北每日數據'!A158</x:f>
        <x:v>45990</x:v>
      </x:c>
      <x:c r="B158" s="44" t="n">
        <x:f>IF(COUNT('台北每日數據'!C158:D158)=2,'台北每日數據'!B158,"")</x:f>
        <x:v>258877</x:v>
      </x:c>
      <x:c r="C158" s="44" t="n">
        <x:f>IF(COUNT('新北每日數據'!C158:D158)=2,'新北每日數據'!B158,"")</x:f>
        <x:v>146854</x:v>
      </x:c>
      <x:c r="D158" s="44" t="n">
        <x:f>IF(COUNT(B158:C158)=2,SUM(B158:C158),"")</x:f>
        <x:v>405731</x:v>
      </x:c>
      <x:c r="E158" s="44" t="n">
        <x:f>IF(COUNT('台北每日數據'!C158:D158)=2,'台北每日數據'!G158,"")</x:f>
        <x:v>2226</x:v>
      </x:c>
      <x:c r="F158" s="44" t="n">
        <x:f>IF(COUNT('新北每日數據'!C158:D158)=2,'新北每日數據'!G158,"")</x:f>
        <x:v>1215</x:v>
      </x:c>
      <x:c r="G158" s="44" t="n">
        <x:f>IF(COUNT(E158:F158)=2,SUM(E158:F158),"")</x:f>
        <x:v>3441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43" t="n">
        <x:f>'台北每日數據'!A159</x:f>
        <x:v>45991</x:v>
      </x:c>
      <x:c r="B159" s="44" t="n">
        <x:f>IF(COUNT('台北每日數據'!C159:D159)=2,'台北每日數據'!B159,"")</x:f>
        <x:v>196214</x:v>
      </x:c>
      <x:c r="C159" s="44" t="n">
        <x:f>IF(COUNT('新北每日數據'!C159:D159)=2,'新北每日數據'!B159,"")</x:f>
        <x:v>107186</x:v>
      </x:c>
      <x:c r="D159" s="44" t="n">
        <x:f>IF(COUNT(B159:C159)=2,SUM(B159:C159),"")</x:f>
        <x:v>303400</x:v>
      </x:c>
      <x:c r="E159" s="44" t="n">
        <x:f>IF(COUNT('台北每日數據'!C159:D159)=2,'台北每日數據'!G159,"")</x:f>
        <x:v>2004</x:v>
      </x:c>
      <x:c r="F159" s="44" t="n">
        <x:f>IF(COUNT('新北每日數據'!C159:D159)=2,'新北每日數據'!G159,"")</x:f>
        <x:v>1102</x:v>
      </x:c>
      <x:c r="G159" s="44" t="n">
        <x:f>IF(COUNT(E159:F159)=2,SUM(E159:F159),"")</x:f>
        <x:v>3106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43" t="n">
        <x:f>'台北每日數據'!A160</x:f>
        <x:v>45992</x:v>
      </x:c>
      <x:c r="B160" s="44" t="n">
        <x:f>IF(COUNT('台北每日數據'!C160:D160)=2,'台北每日數據'!B160,"")</x:f>
        <x:v>237794</x:v>
      </x:c>
      <x:c r="C160" s="44" t="n">
        <x:f>IF(COUNT('新北每日數據'!C160:D160)=2,'新北每日數據'!B160,"")</x:f>
        <x:v>116965</x:v>
      </x:c>
      <x:c r="D160" s="44" t="n">
        <x:f>IF(COUNT(B160:C160)=2,SUM(B160:C160),"")</x:f>
        <x:v>354759</x:v>
      </x:c>
      <x:c r="E160" s="44" t="n">
        <x:f>IF(COUNT('台北每日數據'!C160:D160)=2,'台北每日數據'!G160,"")</x:f>
        <x:v>1171</x:v>
      </x:c>
      <x:c r="F160" s="44" t="n">
        <x:f>IF(COUNT('新北每日數據'!C160:D160)=2,'新北每日數據'!G160,"")</x:f>
        <x:v>659</x:v>
      </x:c>
      <x:c r="G160" s="44" t="n">
        <x:f>IF(COUNT(E160:F160)=2,SUM(E160:F160),"")</x:f>
        <x:v>1830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43" t="n">
        <x:f>'台北每日數據'!A161</x:f>
        <x:v>45993</x:v>
      </x:c>
      <x:c r="B161" s="44" t="n">
        <x:f>IF(COUNT('台北每日數據'!C161:D161)=2,'台北每日數據'!B161,"")</x:f>
        <x:v>285646</x:v>
      </x:c>
      <x:c r="C161" s="44" t="n">
        <x:f>IF(COUNT('新北每日數據'!C161:D161)=2,'新北每日數據'!B161,"")</x:f>
        <x:v>137349</x:v>
      </x:c>
      <x:c r="D161" s="44" t="n">
        <x:f>IF(COUNT(B161:C161)=2,SUM(B161:C161),"")</x:f>
        <x:v>422995</x:v>
      </x:c>
      <x:c r="E161" s="44" t="n">
        <x:f>IF(COUNT('台北每日數據'!C161:D161)=2,'台北每日數據'!G161,"")</x:f>
        <x:v>1438</x:v>
      </x:c>
      <x:c r="F161" s="44" t="n">
        <x:f>IF(COUNT('新北每日數據'!C161:D161)=2,'新北每日數據'!G161,"")</x:f>
        <x:v>809</x:v>
      </x:c>
      <x:c r="G161" s="44" t="n">
        <x:f>IF(COUNT(E161:F161)=2,SUM(E161:F161),"")</x:f>
        <x:v>2247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43" t="n">
        <x:f>'台北每日數據'!A162</x:f>
        <x:v>45994</x:v>
      </x:c>
      <x:c r="B162" s="44" t="n">
        <x:f>IF(COUNT('台北每日數據'!C162:D162)=2,'台北每日數據'!B162,"")</x:f>
        <x:v>225992</x:v>
      </x:c>
      <x:c r="C162" s="44" t="n">
        <x:f>IF(COUNT('新北每日數據'!C162:D162)=2,'新北每日數據'!B162,"")</x:f>
        <x:v>103747</x:v>
      </x:c>
      <x:c r="D162" s="44" t="n">
        <x:f>IF(COUNT(B162:C162)=2,SUM(B162:C162),"")</x:f>
        <x:v>329739</x:v>
      </x:c>
      <x:c r="E162" s="44" t="n">
        <x:f>IF(COUNT('台北每日數據'!C162:D162)=2,'台北每日數據'!G162,"")</x:f>
        <x:v>1000</x:v>
      </x:c>
      <x:c r="F162" s="44" t="n">
        <x:f>IF(COUNT('新北每日數據'!C162:D162)=2,'新北每日數據'!G162,"")</x:f>
        <x:v>515</x:v>
      </x:c>
      <x:c r="G162" s="44" t="n">
        <x:f>IF(COUNT(E162:F162)=2,SUM(E162:F162),"")</x:f>
        <x:v>1515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43" t="n">
        <x:f>'台北每日數據'!A163</x:f>
        <x:v>45995</x:v>
      </x:c>
      <x:c r="B163" s="44" t="n">
        <x:f>IF(COUNT('台北每日數據'!C163:D163)=2,'台北每日數據'!B163,"")</x:f>
        <x:v>277385</x:v>
      </x:c>
      <x:c r="C163" s="44" t="n">
        <x:f>IF(COUNT('新北每日數據'!C163:D163)=2,'新北每日數據'!B163,"")</x:f>
        <x:v>136244</x:v>
      </x:c>
      <x:c r="D163" s="44" t="n">
        <x:f>IF(COUNT(B163:C163)=2,SUM(B163:C163),"")</x:f>
        <x:v>413629</x:v>
      </x:c>
      <x:c r="E163" s="44" t="n">
        <x:f>IF(COUNT('台北每日數據'!C163:D163)=2,'台北每日數據'!G163,"")</x:f>
        <x:v>1471</x:v>
      </x:c>
      <x:c r="F163" s="44" t="n">
        <x:f>IF(COUNT('新北每日數據'!C163:D163)=2,'新北每日數據'!G163,"")</x:f>
        <x:v>909</x:v>
      </x:c>
      <x:c r="G163" s="44" t="n">
        <x:f>IF(COUNT(E163:F163)=2,SUM(E163:F163),"")</x:f>
        <x:v>2380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43" t="n">
        <x:f>'台北每日數據'!A164</x:f>
        <x:v>45996</x:v>
      </x:c>
      <x:c r="B164" s="44" t="n">
        <x:f>IF(COUNT('台北每日數據'!C164:D164)=2,'台北每日數據'!B164,"")</x:f>
        <x:v>272068</x:v>
      </x:c>
      <x:c r="C164" s="44" t="n">
        <x:f>IF(COUNT('新北每日數據'!C164:D164)=2,'新北每日數據'!B164,"")</x:f>
        <x:v>139963</x:v>
      </x:c>
      <x:c r="D164" s="44" t="n">
        <x:f>IF(COUNT(B164:C164)=2,SUM(B164:C164),"")</x:f>
        <x:v>412031</x:v>
      </x:c>
      <x:c r="E164" s="44" t="n">
        <x:f>IF(COUNT('台北每日數據'!C164:D164)=2,'台北每日數據'!G164,"")</x:f>
        <x:v>1499</x:v>
      </x:c>
      <x:c r="F164" s="44" t="n">
        <x:f>IF(COUNT('新北每日數據'!C164:D164)=2,'新北每日數據'!G164,"")</x:f>
        <x:v>876</x:v>
      </x:c>
      <x:c r="G164" s="44" t="n">
        <x:f>IF(COUNT(E164:F164)=2,SUM(E164:F164),"")</x:f>
        <x:v>2375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43" t="n">
        <x:f>'台北每日數據'!A165</x:f>
        <x:v>45997</x:v>
      </x:c>
      <x:c r="B165" s="44" t="n">
        <x:f>IF(COUNT('台北每日數據'!C165:D165)=2,'台北每日數據'!B165,"")</x:f>
        <x:v>257948</x:v>
      </x:c>
      <x:c r="C165" s="44" t="n">
        <x:f>IF(COUNT('新北每日數據'!C165:D165)=2,'新北每日數據'!B165,"")</x:f>
        <x:v>149682</x:v>
      </x:c>
      <x:c r="D165" s="44" t="n">
        <x:f>IF(COUNT(B165:C165)=2,SUM(B165:C165),"")</x:f>
        <x:v>407630</x:v>
      </x:c>
      <x:c r="E165" s="44" t="n">
        <x:f>IF(COUNT('台北每日數據'!C165:D165)=2,'台北每日數據'!G165,"")</x:f>
        <x:v>1629</x:v>
      </x:c>
      <x:c r="F165" s="44" t="n">
        <x:f>IF(COUNT('新北每日數據'!C165:D165)=2,'新北每日數據'!G165,"")</x:f>
        <x:v>1012</x:v>
      </x:c>
      <x:c r="G165" s="44" t="n">
        <x:f>IF(COUNT(E165:F165)=2,SUM(E165:F165),"")</x:f>
        <x:v>2641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43" t="n">
        <x:f>'台北每日數據'!A166</x:f>
        <x:v>45998</x:v>
      </x:c>
      <x:c r="B166" s="44" t="n">
        <x:f>IF(COUNT('台北每日數據'!C166:D166)=2,'台北每日數據'!B166,"")</x:f>
        <x:v>242030</x:v>
      </x:c>
      <x:c r="C166" s="44" t="n">
        <x:f>IF(COUNT('新北每日數據'!C166:D166)=2,'新北每日數據'!B166,"")</x:f>
        <x:v>138619</x:v>
      </x:c>
      <x:c r="D166" s="44" t="n">
        <x:f>IF(COUNT(B166:C166)=2,SUM(B166:C166),"")</x:f>
        <x:v>380649</x:v>
      </x:c>
      <x:c r="E166" s="44" t="n">
        <x:f>IF(COUNT('台北每日數據'!C166:D166)=2,'台北每日數據'!G166,"")</x:f>
        <x:v>1515</x:v>
      </x:c>
      <x:c r="F166" s="44" t="n">
        <x:f>IF(COUNT('新北每日數據'!C166:D166)=2,'新北每日數據'!G166,"")</x:f>
        <x:v>989</x:v>
      </x:c>
      <x:c r="G166" s="44" t="n">
        <x:f>IF(COUNT(E166:F166)=2,SUM(E166:F166),"")</x:f>
        <x:v>2504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43" t="n">
        <x:f>'台北每日數據'!A167</x:f>
        <x:v>45999</x:v>
      </x:c>
      <x:c r="B167" s="44" t="n">
        <x:f>IF(COUNT('台北每日數據'!C167:D167)=2,'台北每日數據'!B167,"")</x:f>
        <x:v>214677</x:v>
      </x:c>
      <x:c r="C167" s="44" t="n">
        <x:f>IF(COUNT('新北每日數據'!C167:D167)=2,'新北每日數據'!B167,"")</x:f>
        <x:v>116750</x:v>
      </x:c>
      <x:c r="D167" s="44" t="n">
        <x:f>IF(COUNT(B167:C167)=2,SUM(B167:C167),"")</x:f>
        <x:v>331427</x:v>
      </x:c>
      <x:c r="E167" s="44" t="n">
        <x:f>IF(COUNT('台北每日數據'!C167:D167)=2,'台北每日數據'!G167,"")</x:f>
        <x:v>1170</x:v>
      </x:c>
      <x:c r="F167" s="44" t="n">
        <x:f>IF(COUNT('新北每日數據'!C167:D167)=2,'新北每日數據'!G167,"")</x:f>
        <x:v>635</x:v>
      </x:c>
      <x:c r="G167" s="44" t="n">
        <x:f>IF(COUNT(E167:F167)=2,SUM(E167:F167),"")</x:f>
        <x:v>1805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43" t="n">
        <x:f>'台北每日數據'!A168</x:f>
        <x:v>46000</x:v>
      </x:c>
      <x:c r="B168" s="44" t="n">
        <x:f>IF(COUNT('台北每日數據'!C168:D168)=2,'台北每日數據'!B168,"")</x:f>
        <x:v>216580</x:v>
      </x:c>
      <x:c r="C168" s="44" t="n">
        <x:f>IF(COUNT('新北每日數據'!C168:D168)=2,'新北每日數據'!B168,"")</x:f>
        <x:v>107691</x:v>
      </x:c>
      <x:c r="D168" s="44" t="n">
        <x:f>IF(COUNT(B168:C168)=2,SUM(B168:C168),"")</x:f>
        <x:v>324271</x:v>
      </x:c>
      <x:c r="E168" s="44" t="n">
        <x:f>IF(COUNT('台北每日數據'!C168:D168)=2,'台北每日數據'!G168,"")</x:f>
        <x:v>1069</x:v>
      </x:c>
      <x:c r="F168" s="44" t="n">
        <x:f>IF(COUNT('新北每日數據'!C168:D168)=2,'新北每日數據'!G168,"")</x:f>
        <x:v>592</x:v>
      </x:c>
      <x:c r="G168" s="44" t="n">
        <x:f>IF(COUNT(E168:F168)=2,SUM(E168:F168),"")</x:f>
        <x:v>1661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43" t="n">
        <x:f>'台北每日數據'!A169</x:f>
        <x:v>46001</x:v>
      </x:c>
      <x:c r="B169" s="44" t="n">
        <x:f>IF(COUNT('台北每日數據'!C169:D169)=2,'台北每日數據'!B169,"")</x:f>
        <x:v>293084</x:v>
      </x:c>
      <x:c r="C169" s="44" t="n">
        <x:f>IF(COUNT('新北每日數據'!C169:D169)=2,'新北每日數據'!B169,"")</x:f>
        <x:v>141556</x:v>
      </x:c>
      <x:c r="D169" s="44" t="n">
        <x:f>IF(COUNT(B169:C169)=2,SUM(B169:C169),"")</x:f>
        <x:v>434640</x:v>
      </x:c>
      <x:c r="E169" s="44" t="n">
        <x:f>IF(COUNT('台北每日數據'!C169:D169)=2,'台北每日數據'!G169,"")</x:f>
        <x:v>1707</x:v>
      </x:c>
      <x:c r="F169" s="44" t="n">
        <x:f>IF(COUNT('新北每日數據'!C169:D169)=2,'新北每日數據'!G169,"")</x:f>
        <x:v>929</x:v>
      </x:c>
      <x:c r="G169" s="44" t="n">
        <x:f>IF(COUNT(E169:F169)=2,SUM(E169:F169),"")</x:f>
        <x:v>2636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43" t="n">
        <x:f>'台北每日數據'!A170</x:f>
        <x:v>46002</x:v>
      </x:c>
      <x:c r="B170" s="44" t="n">
        <x:f>IF(COUNT('台北每日數據'!C170:D170)=2,'台北每日數據'!B170,"")</x:f>
        <x:v>291192</x:v>
      </x:c>
      <x:c r="C170" s="44" t="n">
        <x:f>IF(COUNT('新北每日數據'!C170:D170)=2,'新北每日數據'!B170,"")</x:f>
        <x:v>140907</x:v>
      </x:c>
      <x:c r="D170" s="44" t="n">
        <x:f>IF(COUNT(B170:C170)=2,SUM(B170:C170),"")</x:f>
        <x:v>432099</x:v>
      </x:c>
      <x:c r="E170" s="44" t="n">
        <x:f>IF(COUNT('台北每日數據'!C170:D170)=2,'台北每日數據'!G170,"")</x:f>
        <x:v>1587</x:v>
      </x:c>
      <x:c r="F170" s="44" t="n">
        <x:f>IF(COUNT('新北每日數據'!C170:D170)=2,'新北每日數據'!G170,"")</x:f>
        <x:v>874</x:v>
      </x:c>
      <x:c r="G170" s="44" t="n">
        <x:f>IF(COUNT(E170:F170)=2,SUM(E170:F170),"")</x:f>
        <x:v>2461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43" t="n">
        <x:f>'台北每日數據'!A171</x:f>
        <x:v>46003</x:v>
      </x:c>
      <x:c r="B171" s="44" t="n">
        <x:f>IF(COUNT('台北每日數據'!C171:D171)=2,'台北每日數據'!B171,"")</x:f>
        <x:v>186055</x:v>
      </x:c>
      <x:c r="C171" s="44" t="n">
        <x:f>IF(COUNT('新北每日數據'!C171:D171)=2,'新北每日數據'!B171,"")</x:f>
        <x:v>109666</x:v>
      </x:c>
      <x:c r="D171" s="44" t="n">
        <x:f>IF(COUNT(B171:C171)=2,SUM(B171:C171),"")</x:f>
        <x:v>295721</x:v>
      </x:c>
      <x:c r="E171" s="44" t="n">
        <x:f>IF(COUNT('台北每日數據'!C171:D171)=2,'台北每日數據'!G171,"")</x:f>
        <x:v>1006</x:v>
      </x:c>
      <x:c r="F171" s="44" t="n">
        <x:f>IF(COUNT('新北每日數據'!C171:D171)=2,'新北每日數據'!G171,"")</x:f>
        <x:v>568</x:v>
      </x:c>
      <x:c r="G171" s="44" t="n">
        <x:f>IF(COUNT(E171:F171)=2,SUM(E171:F171),"")</x:f>
        <x:v>1574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43" t="n">
        <x:f>'台北每日數據'!A172</x:f>
        <x:v>46004</x:v>
      </x:c>
      <x:c r="B172" s="44" t="n">
        <x:f>IF(COUNT('台北每日數據'!C172:D172)=2,'台北每日數據'!B172,"")</x:f>
        <x:v>150876</x:v>
      </x:c>
      <x:c r="C172" s="44" t="n">
        <x:f>IF(COUNT('新北每日數據'!C172:D172)=2,'新北每日數據'!B172,"")</x:f>
        <x:v>74666</x:v>
      </x:c>
      <x:c r="D172" s="44" t="n">
        <x:f>IF(COUNT(B172:C172)=2,SUM(B172:C172),"")</x:f>
        <x:v>225542</x:v>
      </x:c>
      <x:c r="E172" s="44" t="n">
        <x:f>IF(COUNT('台北每日數據'!C172:D172)=2,'台北每日數據'!G172,"")</x:f>
        <x:v>859</x:v>
      </x:c>
      <x:c r="F172" s="44" t="n">
        <x:f>IF(COUNT('新北每日數據'!C172:D172)=2,'新北每日數據'!G172,"")</x:f>
        <x:v>428</x:v>
      </x:c>
      <x:c r="G172" s="44" t="n">
        <x:f>IF(COUNT(E172:F172)=2,SUM(E172:F172),"")</x:f>
        <x:v>1287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43" t="n">
        <x:f>'台北每日數據'!A173</x:f>
        <x:v>46005</x:v>
      </x:c>
      <x:c r="B173" s="44" t="n">
        <x:f>IF(COUNT('台北每日數據'!C173:D173)=2,'台北每日數據'!B173,"")</x:f>
        <x:v>206220</x:v>
      </x:c>
      <x:c r="C173" s="44" t="n">
        <x:f>IF(COUNT('新北每日數據'!C173:D173)=2,'新北每日數據'!B173,"")</x:f>
        <x:v>119297</x:v>
      </x:c>
      <x:c r="D173" s="44" t="n">
        <x:f>IF(COUNT(B173:C173)=2,SUM(B173:C173),"")</x:f>
        <x:v>325517</x:v>
      </x:c>
      <x:c r="E173" s="44" t="n">
        <x:f>IF(COUNT('台北每日數據'!C173:D173)=2,'台北每日數據'!G173,"")</x:f>
        <x:v>1315</x:v>
      </x:c>
      <x:c r="F173" s="44" t="n">
        <x:f>IF(COUNT('新北每日數據'!C173:D173)=2,'新北每日數據'!G173,"")</x:f>
        <x:v>889</x:v>
      </x:c>
      <x:c r="G173" s="44" t="n">
        <x:f>IF(COUNT(E173:F173)=2,SUM(E173:F173),"")</x:f>
        <x:v>2204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43" t="n">
        <x:f>'台北每日數據'!A174</x:f>
        <x:v>46006</x:v>
      </x:c>
      <x:c r="B174" s="44" t="n">
        <x:f>IF(COUNT('台北每日數據'!C174:D174)=2,'台北每日數據'!B174,"")</x:f>
        <x:v>268028</x:v>
      </x:c>
      <x:c r="C174" s="44" t="n">
        <x:f>IF(COUNT('新北每日數據'!C174:D174)=2,'新北每日數據'!B174,"")</x:f>
        <x:v>131539</x:v>
      </x:c>
      <x:c r="D174" s="44" t="n">
        <x:f>IF(COUNT(B174:C174)=2,SUM(B174:C174),"")</x:f>
        <x:v>399567</x:v>
      </x:c>
      <x:c r="E174" s="44" t="n">
        <x:f>IF(COUNT('台北每日數據'!C174:D174)=2,'台北每日數據'!G174,"")</x:f>
        <x:v>1389</x:v>
      </x:c>
      <x:c r="F174" s="44" t="n">
        <x:f>IF(COUNT('新北每日數據'!C174:D174)=2,'新北每日數據'!G174,"")</x:f>
        <x:v>815</x:v>
      </x:c>
      <x:c r="G174" s="44" t="n">
        <x:f>IF(COUNT(E174:F174)=2,SUM(E174:F174),"")</x:f>
        <x:v>2204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43" t="n">
        <x:f>'台北每日數據'!A175</x:f>
        <x:v>46007</x:v>
      </x:c>
      <x:c r="B175" s="44" t="n">
        <x:f>IF(COUNT('台北每日數據'!C175:D175)=2,'台北每日數據'!B175,"")</x:f>
        <x:v>285212</x:v>
      </x:c>
      <x:c r="C175" s="44" t="n">
        <x:f>IF(COUNT('新北每日數據'!C175:D175)=2,'新北每日數據'!B175,"")</x:f>
        <x:v>138987</x:v>
      </x:c>
      <x:c r="D175" s="44" t="n">
        <x:f>IF(COUNT(B175:C175)=2,SUM(B175:C175),"")</x:f>
        <x:v>424199</x:v>
      </x:c>
      <x:c r="E175" s="44" t="n">
        <x:f>IF(COUNT('台北每日數據'!C175:D175)=2,'台北每日數據'!G175,"")</x:f>
        <x:v>1570</x:v>
      </x:c>
      <x:c r="F175" s="44" t="n">
        <x:f>IF(COUNT('新北每日數據'!C175:D175)=2,'新北每日數據'!G175,"")</x:f>
        <x:v>897</x:v>
      </x:c>
      <x:c r="G175" s="44" t="n">
        <x:f>IF(COUNT(E175:F175)=2,SUM(E175:F175),"")</x:f>
        <x:v>2467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43" t="n">
        <x:f>'台北每日數據'!A176</x:f>
        <x:v>46008</x:v>
      </x:c>
      <x:c r="B176" s="44" t="n">
        <x:f>IF(COUNT('台北每日數據'!C176:D176)=2,'台北每日數據'!B176,"")</x:f>
        <x:v>285386</x:v>
      </x:c>
      <x:c r="C176" s="44" t="n">
        <x:f>IF(COUNT('新北每日數據'!C176:D176)=2,'新北每日數據'!B176,"")</x:f>
        <x:v>141503</x:v>
      </x:c>
      <x:c r="D176" s="44" t="n">
        <x:f>IF(COUNT(B176:C176)=2,SUM(B176:C176),"")</x:f>
        <x:v>426889</x:v>
      </x:c>
      <x:c r="E176" s="44" t="n">
        <x:f>IF(COUNT('台北每日數據'!C176:D176)=2,'台北每日數據'!G176,"")</x:f>
        <x:v>1679</x:v>
      </x:c>
      <x:c r="F176" s="44" t="n">
        <x:f>IF(COUNT('新北每日數據'!C176:D176)=2,'新北每日數據'!G176,"")</x:f>
        <x:v>929</x:v>
      </x:c>
      <x:c r="G176" s="44" t="n">
        <x:f>IF(COUNT(E176:F176)=2,SUM(E176:F176),"")</x:f>
        <x:v>2608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43" t="n">
        <x:f>'台北每日數據'!A177</x:f>
        <x:v>46009</x:v>
      </x:c>
      <x:c r="B177" s="44" t="n">
        <x:f>IF(COUNT('台北每日數據'!C177:D177)=2,'台北每日數據'!B177,"")</x:f>
        <x:v>281460</x:v>
      </x:c>
      <x:c r="C177" s="44" t="n">
        <x:f>IF(COUNT('新北每日數據'!C177:D177)=2,'新北每日數據'!B177,"")</x:f>
        <x:v>136973</x:v>
      </x:c>
      <x:c r="D177" s="44" t="n">
        <x:f>IF(COUNT(B177:C177)=2,SUM(B177:C177),"")</x:f>
        <x:v>418433</x:v>
      </x:c>
      <x:c r="E177" s="44" t="n">
        <x:f>IF(COUNT('台北每日數據'!C177:D177)=2,'台北每日數據'!G177,"")</x:f>
        <x:v>1559</x:v>
      </x:c>
      <x:c r="F177" s="44" t="n">
        <x:f>IF(COUNT('新北每日數據'!C177:D177)=2,'新北每日數據'!G177,"")</x:f>
        <x:v>810</x:v>
      </x:c>
      <x:c r="G177" s="44" t="n">
        <x:f>IF(COUNT(E177:F177)=2,SUM(E177:F177),"")</x:f>
        <x:v>2369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43" t="n">
        <x:f>'台北每日數據'!A178</x:f>
        <x:v>46010</x:v>
      </x:c>
      <x:c r="B178" s="44" t="n">
        <x:f>IF(COUNT('台北每日數據'!C178:D178)=2,'台北每日數據'!B178,"")</x:f>
        <x:v>290633</x:v>
      </x:c>
      <x:c r="C178" s="44" t="n">
        <x:f>IF(COUNT('新北每日數據'!C178:D178)=2,'新北每日數據'!B178,"")</x:f>
        <x:v>138143</x:v>
      </x:c>
      <x:c r="D178" s="44" t="n">
        <x:f>IF(COUNT(B178:C178)=2,SUM(B178:C178),"")</x:f>
        <x:v>428776</x:v>
      </x:c>
      <x:c r="E178" s="44" t="n">
        <x:f>IF(COUNT('台北每日數據'!C178:D178)=2,'台北每日數據'!G178,"")</x:f>
        <x:v>1530</x:v>
      </x:c>
      <x:c r="F178" s="44" t="n">
        <x:f>IF(COUNT('新北每日數據'!C178:D178)=2,'新北每日數據'!G178,"")</x:f>
        <x:v>823</x:v>
      </x:c>
      <x:c r="G178" s="44" t="n">
        <x:f>IF(COUNT(E178:F178)=2,SUM(E178:F178),"")</x:f>
        <x:v>2353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43" t="n">
        <x:f>'台北每日數據'!A179</x:f>
        <x:v>46011</x:v>
      </x:c>
      <x:c r="B179" s="44" t="n">
        <x:f>IF(COUNT('台北每日數據'!C179:D179)=2,'台北每日數據'!B179,"")</x:f>
        <x:v>255885</x:v>
      </x:c>
      <x:c r="C179" s="44" t="n">
        <x:f>IF(COUNT('新北每日數據'!C179:D179)=2,'新北每日數據'!B179,"")</x:f>
        <x:v>144845</x:v>
      </x:c>
      <x:c r="D179" s="44" t="n">
        <x:f>IF(COUNT(B179:C179)=2,SUM(B179:C179),"")</x:f>
        <x:v>400730</x:v>
      </x:c>
      <x:c r="E179" s="44" t="n">
        <x:f>IF(COUNT('台北每日數據'!C179:D179)=2,'台北每日數據'!G179,"")</x:f>
        <x:v>1625</x:v>
      </x:c>
      <x:c r="F179" s="44" t="n">
        <x:f>IF(COUNT('新北每日數據'!C179:D179)=2,'新北每日數據'!G179,"")</x:f>
        <x:v>1030</x:v>
      </x:c>
      <x:c r="G179" s="44" t="n">
        <x:f>IF(COUNT(E179:F179)=2,SUM(E179:F179),"")</x:f>
        <x:v>2655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43" t="n">
        <x:f>'台北每日數據'!A180</x:f>
        <x:v>46012</x:v>
      </x:c>
      <x:c r="B180" s="44" t="n">
        <x:f>IF(COUNT('台北每日數據'!C180:D180)=2,'台北每日數據'!B180,"")</x:f>
        <x:v>205278</x:v>
      </x:c>
      <x:c r="C180" s="44" t="n">
        <x:f>IF(COUNT('新北每日數據'!C180:D180)=2,'新北每日數據'!B180,"")</x:f>
        <x:v>113875</x:v>
      </x:c>
      <x:c r="D180" s="44" t="n">
        <x:f>IF(COUNT(B180:C180)=2,SUM(B180:C180),"")</x:f>
        <x:v>319153</x:v>
      </x:c>
      <x:c r="E180" s="44" t="n">
        <x:f>IF(COUNT('台北每日數據'!C180:D180)=2,'台北每日數據'!G180,"")</x:f>
        <x:v>1277</x:v>
      </x:c>
      <x:c r="F180" s="44" t="n">
        <x:f>IF(COUNT('新北每日數據'!C180:D180)=2,'新北每日數據'!G180,"")</x:f>
        <x:v>724</x:v>
      </x:c>
      <x:c r="G180" s="44" t="n">
        <x:f>IF(COUNT(E180:F180)=2,SUM(E180:F180),"")</x:f>
        <x:v>2001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43" t="n">
        <x:f>'台北每日數據'!A181</x:f>
        <x:v>46013</x:v>
      </x:c>
      <x:c r="B181" s="44" t="n">
        <x:f>IF(COUNT('台北每日數據'!C181:D181)=2,'台北每日數據'!B181,"")</x:f>
        <x:v>264930</x:v>
      </x:c>
      <x:c r="C181" s="44" t="n">
        <x:f>IF(COUNT('新北每日數據'!C181:D181)=2,'新北每日數據'!B181,"")</x:f>
        <x:v>132965</x:v>
      </x:c>
      <x:c r="D181" s="44" t="n">
        <x:f>IF(COUNT(B181:C181)=2,SUM(B181:C181),"")</x:f>
        <x:v>397895</x:v>
      </x:c>
      <x:c r="E181" s="44" t="n">
        <x:f>IF(COUNT('台北每日數據'!C181:D181)=2,'台北每日數據'!G181,"")</x:f>
        <x:v>1544</x:v>
      </x:c>
      <x:c r="F181" s="44" t="n">
        <x:f>IF(COUNT('新北每日數據'!C181:D181)=2,'新北每日數據'!G181,"")</x:f>
        <x:v>818</x:v>
      </x:c>
      <x:c r="G181" s="44" t="n">
        <x:f>IF(COUNT(E181:F181)=2,SUM(E181:F181),"")</x:f>
        <x:v>2362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43" t="n">
        <x:f>'台北每日數據'!A182</x:f>
        <x:v>46014</x:v>
      </x:c>
      <x:c r="B182" s="44" t="n">
        <x:f>IF(COUNT('台北每日數據'!C182:D182)=2,'台北每日數據'!B182,"")</x:f>
        <x:v>288788</x:v>
      </x:c>
      <x:c r="C182" s="44" t="n">
        <x:f>IF(COUNT('新北每日數據'!C182:D182)=2,'新北每日數據'!B182,"")</x:f>
        <x:v>142880</x:v>
      </x:c>
      <x:c r="D182" s="44" t="n">
        <x:f>IF(COUNT(B182:C182)=2,SUM(B182:C182),"")</x:f>
        <x:v>431668</x:v>
      </x:c>
      <x:c r="E182" s="44" t="n">
        <x:f>IF(COUNT('台北每日數據'!C182:D182)=2,'台北每日數據'!G182,"")</x:f>
        <x:v>1859</x:v>
      </x:c>
      <x:c r="F182" s="44" t="n">
        <x:f>IF(COUNT('新北每日數據'!C182:D182)=2,'新北每日數據'!G182,"")</x:f>
        <x:v>1025</x:v>
      </x:c>
      <x:c r="G182" s="44" t="n">
        <x:f>IF(COUNT(E182:F182)=2,SUM(E182:F182),"")</x:f>
        <x:v>2884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43" t="n">
        <x:f>'台北每日數據'!A183</x:f>
        <x:v>46015</x:v>
      </x:c>
      <x:c r="B183" s="44" t="n">
        <x:f>IF(COUNT('台北每日數據'!C183:D183)=2,'台北每日數據'!B183,"")</x:f>
        <x:v>290700</x:v>
      </x:c>
      <x:c r="C183" s="44" t="n">
        <x:f>IF(COUNT('新北每日數據'!C183:D183)=2,'新北每日數據'!B183,"")</x:f>
        <x:v>148463</x:v>
      </x:c>
      <x:c r="D183" s="44" t="n">
        <x:f>IF(COUNT(B183:C183)=2,SUM(B183:C183),"")</x:f>
        <x:v>439163</x:v>
      </x:c>
      <x:c r="E183" s="44" t="n">
        <x:f>IF(COUNT('台北每日數據'!C183:D183)=2,'台北每日數據'!G183,"")</x:f>
        <x:v>1940</x:v>
      </x:c>
      <x:c r="F183" s="44" t="n">
        <x:f>IF(COUNT('新北每日數據'!C183:D183)=2,'新北每日數據'!G183,"")</x:f>
        <x:v>1006</x:v>
      </x:c>
      <x:c r="G183" s="44" t="n">
        <x:f>IF(COUNT(E183:F183)=2,SUM(E183:F183),"")</x:f>
        <x:v>2946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43" t="n">
        <x:f>'台北每日數據'!A184</x:f>
        <x:v>46016</x:v>
      </x:c>
      <x:c r="B184" s="44" t="n">
        <x:f>IF(COUNT('台北每日數據'!C184:D184)=2,'台北每日數據'!B184,"")</x:f>
        <x:v>117309</x:v>
      </x:c>
      <x:c r="C184" s="44" t="n">
        <x:f>IF(COUNT('新北每日數據'!C184:D184)=2,'新北每日數據'!B184,"")</x:f>
        <x:v>47497</x:v>
      </x:c>
      <x:c r="D184" s="44" t="n">
        <x:f>IF(COUNT(B184:C184)=2,SUM(B184:C184),"")</x:f>
        <x:v>164806</x:v>
      </x:c>
      <x:c r="E184" s="44" t="n">
        <x:f>IF(COUNT('台北每日數據'!C184:D184)=2,'台北每日數據'!G184,"")</x:f>
        <x:v>821</x:v>
      </x:c>
      <x:c r="F184" s="44" t="n">
        <x:f>IF(COUNT('新北每日數據'!C184:D184)=2,'新北每日數據'!G184,"")</x:f>
        <x:v>309</x:v>
      </x:c>
      <x:c r="G184" s="44" t="n">
        <x:f>IF(COUNT(E184:F184)=2,SUM(E184:F184),"")</x:f>
        <x:v>1130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43" t="n">
        <x:f>'台北每日數據'!A185</x:f>
        <x:v>46017</x:v>
      </x:c>
      <x:c r="B185" s="44" t="n">
        <x:f>IF(COUNT('台北每日數據'!C185:D185)=2,'台北每日數據'!B185,"")</x:f>
        <x:v>146163</x:v>
      </x:c>
      <x:c r="C185" s="44" t="n">
        <x:f>IF(COUNT('新北每日數據'!C185:D185)=2,'新北每日數據'!B185,"")</x:f>
        <x:v>87636</x:v>
      </x:c>
      <x:c r="D185" s="44" t="n">
        <x:f>IF(COUNT(B185:C185)=2,SUM(B185:C185),"")</x:f>
        <x:v>233799</x:v>
      </x:c>
      <x:c r="E185" s="44" t="n">
        <x:f>IF(COUNT('台北每日數據'!C185:D185)=2,'台北每日數據'!G185,"")</x:f>
        <x:v>915</x:v>
      </x:c>
      <x:c r="F185" s="44" t="n">
        <x:f>IF(COUNT('新北每日數據'!C185:D185)=2,'新北每日數據'!G185,"")</x:f>
        <x:v>523</x:v>
      </x:c>
      <x:c r="G185" s="44" t="n">
        <x:f>IF(COUNT(E185:F185)=2,SUM(E185:F185),"")</x:f>
        <x:v>1438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43" t="n">
        <x:f>'台北每日數據'!A186</x:f>
        <x:v>46018</x:v>
      </x:c>
      <x:c r="B186" s="44" t="n">
        <x:f>IF(COUNT('台北每日數據'!C186:D186)=2,'台北每日數據'!B186,"")</x:f>
        <x:v>147469</x:v>
      </x:c>
      <x:c r="C186" s="44" t="n">
        <x:f>IF(COUNT('新北每日數據'!C186:D186)=2,'新北每日數據'!B186,"")</x:f>
        <x:v>77399</x:v>
      </x:c>
      <x:c r="D186" s="44" t="n">
        <x:f>IF(COUNT(B186:C186)=2,SUM(B186:C186),"")</x:f>
        <x:v>224868</x:v>
      </x:c>
      <x:c r="E186" s="44" t="n">
        <x:f>IF(COUNT('台北每日數據'!C186:D186)=2,'台北每日數據'!G186,"")</x:f>
        <x:v>1107</x:v>
      </x:c>
      <x:c r="F186" s="44" t="n">
        <x:f>IF(COUNT('新北每日數據'!C186:D186)=2,'新北每日數據'!G186,"")</x:f>
        <x:v>527</x:v>
      </x:c>
      <x:c r="G186" s="44" t="n">
        <x:f>IF(COUNT(E186:F186)=2,SUM(E186:F186),"")</x:f>
        <x:v>1634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43" t="n">
        <x:f>'台北每日數據'!A187</x:f>
        <x:v>46019</x:v>
      </x:c>
      <x:c r="B187" s="44" t="n">
        <x:f>IF(COUNT('台北每日數據'!C187:D187)=2,'台北每日數據'!B187,"")</x:f>
        <x:v>181650</x:v>
      </x:c>
      <x:c r="C187" s="44" t="n">
        <x:f>IF(COUNT('新北每日數據'!C187:D187)=2,'新北每日數據'!B187,"")</x:f>
        <x:v>104596</x:v>
      </x:c>
      <x:c r="D187" s="44" t="n">
        <x:f>IF(COUNT(B187:C187)=2,SUM(B187:C187),"")</x:f>
        <x:v>286246</x:v>
      </x:c>
      <x:c r="E187" s="44" t="n">
        <x:f>IF(COUNT('台北每日數據'!C187:D187)=2,'台北每日數據'!G187,"")</x:f>
        <x:v>1574</x:v>
      </x:c>
      <x:c r="F187" s="44" t="n">
        <x:f>IF(COUNT('新北每日數據'!C187:D187)=2,'新北每日數據'!G187,"")</x:f>
        <x:v>901</x:v>
      </x:c>
      <x:c r="G187" s="44" t="n">
        <x:f>IF(COUNT(E187:F187)=2,SUM(E187:F187),"")</x:f>
        <x:v>2475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43" t="n">
        <x:f>'台北每日數據'!A188</x:f>
        <x:v>46020</x:v>
      </x:c>
      <x:c r="B188" s="44" t="n">
        <x:f>IF(COUNT('台北每日數據'!C188:D188)=2,'台北每日數據'!B188,"")</x:f>
        <x:v>269868</x:v>
      </x:c>
      <x:c r="C188" s="44" t="n">
        <x:f>IF(COUNT('新北每日數據'!C188:D188)=2,'新北每日數據'!B188,"")</x:f>
        <x:v>135774</x:v>
      </x:c>
      <x:c r="D188" s="44" t="n">
        <x:f>IF(COUNT(B188:C188)=2,SUM(B188:C188),"")</x:f>
        <x:v>405642</x:v>
      </x:c>
      <x:c r="E188" s="44" t="n">
        <x:f>IF(COUNT('台北每日數據'!C188:D188)=2,'台北每日數據'!G188,"")</x:f>
        <x:v>2118</x:v>
      </x:c>
      <x:c r="F188" s="44" t="n">
        <x:f>IF(COUNT('新北每日數據'!C188:D188)=2,'新北每日數據'!G188,"")</x:f>
        <x:v>1100</x:v>
      </x:c>
      <x:c r="G188" s="44" t="n">
        <x:f>IF(COUNT(E188:F188)=2,SUM(E188:F188),"")</x:f>
        <x:v>3218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43" t="n">
        <x:f>'台北每日數據'!A189</x:f>
        <x:v>46021</x:v>
      </x:c>
      <x:c r="B189" s="44" t="n">
        <x:f>IF(COUNT('台北每日數據'!C189:D189)=2,'台北每日數據'!B189,"")</x:f>
        <x:v>253128</x:v>
      </x:c>
      <x:c r="C189" s="44" t="n">
        <x:f>IF(COUNT('新北每日數據'!C189:D189)=2,'新北每日數據'!B189,"")</x:f>
        <x:v>115856</x:v>
      </x:c>
      <x:c r="D189" s="44" t="n">
        <x:f>IF(COUNT(B189:C189)=2,SUM(B189:C189),"")</x:f>
        <x:v>368984</x:v>
      </x:c>
      <x:c r="E189" s="44" t="n">
        <x:f>IF(COUNT('台北每日數據'!C189:D189)=2,'台北每日數據'!G189,"")</x:f>
        <x:v>2036</x:v>
      </x:c>
      <x:c r="F189" s="44" t="n">
        <x:f>IF(COUNT('新北每日數據'!C189:D189)=2,'新北每日數據'!G189,"")</x:f>
        <x:v>934</x:v>
      </x:c>
      <x:c r="G189" s="44" t="n">
        <x:f>IF(COUNT(E189:F189)=2,SUM(E189:F189),"")</x:f>
        <x:v>2970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43" t="n">
        <x:f>'台北每日數據'!A190</x:f>
        <x:v>46022</x:v>
      </x:c>
      <x:c r="B190" s="44" t="n">
        <x:f>IF(COUNT('台北每日數據'!C190:D190)=2,'台北每日數據'!B190,"")</x:f>
        <x:v>119808</x:v>
      </x:c>
      <x:c r="C190" s="44" t="n">
        <x:f>IF(COUNT('新北每日數據'!C190:D190)=2,'新北每日數據'!B190,"")</x:f>
        <x:v>60530</x:v>
      </x:c>
      <x:c r="D190" s="44" t="n">
        <x:f>IF(COUNT(B190:C190)=2,SUM(B190:C190),"")</x:f>
        <x:v>180338</x:v>
      </x:c>
      <x:c r="E190" s="44" t="n">
        <x:f>IF(COUNT('台北每日數據'!C190:D190)=2,'台北每日數據'!G190,"")</x:f>
        <x:v>1170</x:v>
      </x:c>
      <x:c r="F190" s="44" t="n">
        <x:f>IF(COUNT('新北每日數據'!C190:D190)=2,'新北每日數據'!G190,"")</x:f>
        <x:v>530</x:v>
      </x:c>
      <x:c r="G190" s="44" t="n">
        <x:f>IF(COUNT(E190:F190)=2,SUM(E190:F190),"")</x:f>
        <x:v>1700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43" t="n">
        <x:f>'台北每日數據'!A191</x:f>
        <x:v>46023</x:v>
      </x:c>
      <x:c r="B191" s="44" t="n">
        <x:f>IF(COUNT('台北每日數據'!C191:D191)=2,'台北每日數據'!B191,"")</x:f>
        <x:v>129428</x:v>
      </x:c>
      <x:c r="C191" s="44" t="n">
        <x:f>IF(COUNT('新北每日數據'!C191:D191)=2,'新北每日數據'!B191,"")</x:f>
        <x:v>60488</x:v>
      </x:c>
      <x:c r="D191" s="44" t="n">
        <x:f>IF(COUNT(B191:C191)=2,SUM(B191:C191),"")</x:f>
        <x:v>189916</x:v>
      </x:c>
      <x:c r="E191" s="44" t="n">
        <x:f>IF(COUNT('台北每日數據'!C191:D191)=2,'台北每日數據'!G191,"")</x:f>
        <x:v>860</x:v>
      </x:c>
      <x:c r="F191" s="44" t="n">
        <x:f>IF(COUNT('新北每日數據'!C191:D191)=2,'新北每日數據'!G191,"")</x:f>
        <x:v>436</x:v>
      </x:c>
      <x:c r="G191" s="44" t="n">
        <x:f>IF(COUNT(E191:F191)=2,SUM(E191:F191),"")</x:f>
        <x:v>1296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43" t="n">
        <x:f>'台北每日數據'!A192</x:f>
        <x:v>46024</x:v>
      </x:c>
      <x:c r="B192" s="44" t="n">
        <x:f>IF(COUNT('台北每日數據'!C192:D192)=2,'台北每日數據'!B192,"")</x:f>
        <x:v>183729</x:v>
      </x:c>
      <x:c r="C192" s="44" t="n">
        <x:f>IF(COUNT('新北每日數據'!C192:D192)=2,'新北每日數據'!B192,"")</x:f>
        <x:v>82985</x:v>
      </x:c>
      <x:c r="D192" s="44" t="n">
        <x:f>IF(COUNT(B192:C192)=2,SUM(B192:C192),"")</x:f>
        <x:v>266714</x:v>
      </x:c>
      <x:c r="E192" s="44" t="n">
        <x:f>IF(COUNT('台北每日數據'!C192:D192)=2,'台北每日數據'!G192,"")</x:f>
        <x:v>873</x:v>
      </x:c>
      <x:c r="F192" s="44" t="n">
        <x:f>IF(COUNT('新北每日數據'!C192:D192)=2,'新北每日數據'!G192,"")</x:f>
        <x:v>428</x:v>
      </x:c>
      <x:c r="G192" s="44" t="n">
        <x:f>IF(COUNT(E192:F192)=2,SUM(E192:F192),"")</x:f>
        <x:v>1301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43" t="n">
        <x:f>'台北每日數據'!A193</x:f>
        <x:v>46025</x:v>
      </x:c>
      <x:c r="B193" s="44" t="n">
        <x:f>IF(COUNT('台北每日數據'!C193:D193)=2,'台北每日數據'!B193,"")</x:f>
        <x:v>204837</x:v>
      </x:c>
      <x:c r="C193" s="44" t="n">
        <x:f>IF(COUNT('新北每日數據'!C193:D193)=2,'新北每日數據'!B193,"")</x:f>
        <x:v>123359</x:v>
      </x:c>
      <x:c r="D193" s="44" t="n">
        <x:f>IF(COUNT(B193:C193)=2,SUM(B193:C193),"")</x:f>
        <x:v>328196</x:v>
      </x:c>
      <x:c r="E193" s="44" t="n">
        <x:f>IF(COUNT('台北每日數據'!C193:D193)=2,'台北每日數據'!G193,"")</x:f>
        <x:v>1450</x:v>
      </x:c>
      <x:c r="F193" s="44" t="n">
        <x:f>IF(COUNT('新北每日數據'!C193:D193)=2,'新北每日數據'!G193,"")</x:f>
        <x:v>940</x:v>
      </x:c>
      <x:c r="G193" s="44" t="n">
        <x:f>IF(COUNT(E193:F193)=2,SUM(E193:F193),"")</x:f>
        <x:v>2390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43" t="n">
        <x:f>'台北每日數據'!A194</x:f>
        <x:v>46026</x:v>
      </x:c>
      <x:c r="B194" s="44" t="n">
        <x:f>IF(COUNT('台北每日數據'!C194:D194)=2,'台北每日數據'!B194,"")</x:f>
        <x:v>211054</x:v>
      </x:c>
      <x:c r="C194" s="44" t="n">
        <x:f>IF(COUNT('新北每日數據'!C194:D194)=2,'新北每日數據'!B194,"")</x:f>
        <x:v>124689</x:v>
      </x:c>
      <x:c r="D194" s="44" t="n">
        <x:f>IF(COUNT(B194:C194)=2,SUM(B194:C194),"")</x:f>
        <x:v>335743</x:v>
      </x:c>
      <x:c r="E194" s="44" t="n">
        <x:f>IF(COUNT('台北每日數據'!C194:D194)=2,'台北每日數據'!G194,"")</x:f>
        <x:v>1444</x:v>
      </x:c>
      <x:c r="F194" s="44" t="n">
        <x:f>IF(COUNT('新北每日數據'!C194:D194)=2,'新北每日數據'!G194,"")</x:f>
        <x:v>951</x:v>
      </x:c>
      <x:c r="G194" s="44" t="n">
        <x:f>IF(COUNT(E194:F194)=2,SUM(E194:F194),"")</x:f>
        <x:v>2395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43" t="n">
        <x:f>'台北每日數據'!A195</x:f>
        <x:v>46027</x:v>
      </x:c>
      <x:c r="B195" s="44" t="n">
        <x:f>IF(COUNT('台北每日數據'!C195:D195)=2,'台北每日數據'!B195,"")</x:f>
        <x:v>243880</x:v>
      </x:c>
      <x:c r="C195" s="44" t="n">
        <x:f>IF(COUNT('新北每日數據'!C195:D195)=2,'新北每日數據'!B195,"")</x:f>
        <x:v>118594</x:v>
      </x:c>
      <x:c r="D195" s="44" t="n">
        <x:f>IF(COUNT(B195:C195)=2,SUM(B195:C195),"")</x:f>
        <x:v>362474</x:v>
      </x:c>
      <x:c r="E195" s="44" t="n">
        <x:f>IF(COUNT('台北每日數據'!C195:D195)=2,'台北每日數據'!G195,"")</x:f>
        <x:v>1365</x:v>
      </x:c>
      <x:c r="F195" s="44" t="n">
        <x:f>IF(COUNT('新北每日數據'!C195:D195)=2,'新北每日數據'!G195,"")</x:f>
        <x:v>769</x:v>
      </x:c>
      <x:c r="G195" s="44" t="n">
        <x:f>IF(COUNT(E195:F195)=2,SUM(E195:F195),"")</x:f>
        <x:v>2134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43" t="n">
        <x:f>'台北每日數據'!A196</x:f>
        <x:v>46028</x:v>
      </x:c>
      <x:c r="B196" s="44" t="n">
        <x:f>IF(COUNT('台北每日數據'!C196:D196)=2,'台北每日數據'!B196,"")</x:f>
        <x:v>186795</x:v>
      </x:c>
      <x:c r="C196" s="44" t="n">
        <x:f>IF(COUNT('新北每日數據'!C196:D196)=2,'新北每日數據'!B196,"")</x:f>
        <x:v>108316</x:v>
      </x:c>
      <x:c r="D196" s="44" t="n">
        <x:f>IF(COUNT(B196:C196)=2,SUM(B196:C196),"")</x:f>
        <x:v>295111</x:v>
      </x:c>
      <x:c r="E196" s="44" t="n">
        <x:f>IF(COUNT('台北每日數據'!C196:D196)=2,'台北每日數據'!G196,"")</x:f>
        <x:v>1014</x:v>
      </x:c>
      <x:c r="F196" s="44" t="n">
        <x:f>IF(COUNT('新北每日數據'!C196:D196)=2,'新北每日數據'!G196,"")</x:f>
        <x:v>660</x:v>
      </x:c>
      <x:c r="G196" s="44" t="n">
        <x:f>IF(COUNT(E196:F196)=2,SUM(E196:F196),"")</x:f>
        <x:v>1674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43" t="n">
        <x:f>'台北每日數據'!A197</x:f>
        <x:v>46029</x:v>
      </x:c>
      <x:c r="B197" s="44" t="n">
        <x:f>IF(COUNT('台北每日數據'!C197:D197)=2,'台北每日數據'!B197,"")</x:f>
        <x:v>232076</x:v>
      </x:c>
      <x:c r="C197" s="44" t="n">
        <x:f>IF(COUNT('新北每日數據'!C197:D197)=2,'新北每日數據'!B197,"")</x:f>
        <x:v>119680</x:v>
      </x:c>
      <x:c r="D197" s="44" t="n">
        <x:f>IF(COUNT(B197:C197)=2,SUM(B197:C197),"")</x:f>
        <x:v>351756</x:v>
      </x:c>
      <x:c r="E197" s="44" t="n">
        <x:f>IF(COUNT('台北每日數據'!C197:D197)=2,'台北每日數據'!G197,"")</x:f>
        <x:v>1169</x:v>
      </x:c>
      <x:c r="F197" s="44" t="n">
        <x:f>IF(COUNT('新北每日數據'!C197:D197)=2,'新北每日數據'!G197,"")</x:f>
        <x:v>729</x:v>
      </x:c>
      <x:c r="G197" s="44" t="n">
        <x:f>IF(COUNT(E197:F197)=2,SUM(E197:F197),"")</x:f>
        <x:v>1898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43" t="n">
        <x:f>'台北每日數據'!A198</x:f>
        <x:v>46030</x:v>
      </x:c>
      <x:c r="B198" s="44" t="n">
        <x:f>IF(COUNT('台北每日數據'!C198:D198)=2,'台北每日數據'!B198,"")</x:f>
        <x:v>235337</x:v>
      </x:c>
      <x:c r="C198" s="44" t="n">
        <x:f>IF(COUNT('新北每日數據'!C198:D198)=2,'新北每日數據'!B198,"")</x:f>
        <x:v>121238</x:v>
      </x:c>
      <x:c r="D198" s="44" t="n">
        <x:f>IF(COUNT(B198:C198)=2,SUM(B198:C198),"")</x:f>
        <x:v>356575</x:v>
      </x:c>
      <x:c r="E198" s="44" t="n">
        <x:f>IF(COUNT('台北每日數據'!C198:D198)=2,'台北每日數據'!G198,"")</x:f>
        <x:v>1205</x:v>
      </x:c>
      <x:c r="F198" s="44" t="n">
        <x:f>IF(COUNT('新北每日數據'!C198:D198)=2,'新北每日數據'!G198,"")</x:f>
        <x:v>751</x:v>
      </x:c>
      <x:c r="G198" s="44" t="n">
        <x:f>IF(COUNT(E198:F198)=2,SUM(E198:F198),"")</x:f>
        <x:v>1956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43" t="n">
        <x:f>'台北每日數據'!A199</x:f>
        <x:v>46031</x:v>
      </x:c>
      <x:c r="B199" s="44" t="n">
        <x:f>IF(COUNT('台北每日數據'!C199:D199)=2,'台北每日數據'!B199,"")</x:f>
        <x:v>257661</x:v>
      </x:c>
      <x:c r="C199" s="44" t="n">
        <x:f>IF(COUNT('新北每日數據'!C199:D199)=2,'新北每日數據'!B199,"")</x:f>
        <x:v>135062</x:v>
      </x:c>
      <x:c r="D199" s="44" t="n">
        <x:f>IF(COUNT(B199:C199)=2,SUM(B199:C199),"")</x:f>
        <x:v>392723</x:v>
      </x:c>
      <x:c r="E199" s="44" t="n">
        <x:f>IF(COUNT('台北每日數據'!C199:D199)=2,'台北每日數據'!G199,"")</x:f>
        <x:v>1439</x:v>
      </x:c>
      <x:c r="F199" s="44" t="n">
        <x:f>IF(COUNT('新北每日數據'!C199:D199)=2,'新北每日數據'!G199,"")</x:f>
        <x:v>843</x:v>
      </x:c>
      <x:c r="G199" s="44" t="n">
        <x:f>IF(COUNT(E199:F199)=2,SUM(E199:F199),"")</x:f>
        <x:v>2282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43" t="n">
        <x:f>'台北每日數據'!A200</x:f>
        <x:v>46032</x:v>
      </x:c>
      <x:c r="B200" s="44" t="n">
        <x:f>IF(COUNT('台北每日數據'!C200:D200)=2,'台北每日數據'!B200,"")</x:f>
        <x:v>217031</x:v>
      </x:c>
      <x:c r="C200" s="44" t="n">
        <x:f>IF(COUNT('新北每日數據'!C200:D200)=2,'新北每日數據'!B200,"")</x:f>
        <x:v>129172</x:v>
      </x:c>
      <x:c r="D200" s="44" t="n">
        <x:f>IF(COUNT(B200:C200)=2,SUM(B200:C200),"")</x:f>
        <x:v>346203</x:v>
      </x:c>
      <x:c r="E200" s="44" t="n">
        <x:f>IF(COUNT('台北每日數據'!C200:D200)=2,'台北每日數據'!G200,"")</x:f>
        <x:v>1423</x:v>
      </x:c>
      <x:c r="F200" s="44" t="n">
        <x:f>IF(COUNT('新北每日數據'!C200:D200)=2,'新北每日數據'!G200,"")</x:f>
        <x:v>929</x:v>
      </x:c>
      <x:c r="G200" s="44" t="n">
        <x:f>IF(COUNT(E200:F200)=2,SUM(E200:F200),"")</x:f>
        <x:v>2352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43" t="n">
        <x:f>'台北每日數據'!A201</x:f>
        <x:v>46033</x:v>
      </x:c>
      <x:c r="B201" s="44" t="n">
        <x:f>IF(COUNT('台北每日數據'!C201:D201)=2,'台北每日數據'!B201,"")</x:f>
        <x:v>188317</x:v>
      </x:c>
      <x:c r="C201" s="44" t="n">
        <x:f>IF(COUNT('新北每日數據'!C201:D201)=2,'新北每日數據'!B201,"")</x:f>
        <x:v>110741</x:v>
      </x:c>
      <x:c r="D201" s="44" t="n">
        <x:f>IF(COUNT(B201:C201)=2,SUM(B201:C201),"")</x:f>
        <x:v>299058</x:v>
      </x:c>
      <x:c r="E201" s="44" t="n">
        <x:f>IF(COUNT('台北每日數據'!C201:D201)=2,'台北每日數據'!G201,"")</x:f>
        <x:v>1190</x:v>
      </x:c>
      <x:c r="F201" s="44" t="n">
        <x:f>IF(COUNT('新北每日數據'!C201:D201)=2,'新北每日數據'!G201,"")</x:f>
        <x:v>780</x:v>
      </x:c>
      <x:c r="G201" s="44" t="n">
        <x:f>IF(COUNT(E201:F201)=2,SUM(E201:F201),"")</x:f>
        <x:v>1970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43" t="n">
        <x:f>'台北每日數據'!A202</x:f>
        <x:v>46034</x:v>
      </x:c>
      <x:c r="B202" s="44" t="n">
        <x:f>IF(COUNT('台北每日數據'!C202:D202)=2,'台北每日數據'!B202,"")</x:f>
        <x:v>232279</x:v>
      </x:c>
      <x:c r="C202" s="44" t="n">
        <x:f>IF(COUNT('新北每日數據'!C202:D202)=2,'新北每日數據'!B202,"")</x:f>
        <x:v>122684</x:v>
      </x:c>
      <x:c r="D202" s="44" t="n">
        <x:f>IF(COUNT(B202:C202)=2,SUM(B202:C202),"")</x:f>
        <x:v>354963</x:v>
      </x:c>
      <x:c r="E202" s="44" t="n">
        <x:f>IF(COUNT('台北每日數據'!C202:D202)=2,'台北每日數據'!G202,"")</x:f>
        <x:v>1235</x:v>
      </x:c>
      <x:c r="F202" s="44" t="n">
        <x:f>IF(COUNT('新北每日數據'!C202:D202)=2,'新北每日數據'!G202,"")</x:f>
        <x:v>796</x:v>
      </x:c>
      <x:c r="G202" s="44" t="n">
        <x:f>IF(COUNT(E202:F202)=2,SUM(E202:F202),"")</x:f>
        <x:v>2031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43" t="n">
        <x:f>'台北每日數據'!A203</x:f>
        <x:v>46035</x:v>
      </x:c>
      <x:c r="B203" s="44" t="n">
        <x:f>IF(COUNT('台北每日數據'!C203:D203)=2,'台北每日數據'!B203,"")</x:f>
        <x:v>259518</x:v>
      </x:c>
      <x:c r="C203" s="44" t="n">
        <x:f>IF(COUNT('新北每日數據'!C203:D203)=2,'新北每日數據'!B203,"")</x:f>
        <x:v>133326</x:v>
      </x:c>
      <x:c r="D203" s="44" t="n">
        <x:f>IF(COUNT(B203:C203)=2,SUM(B203:C203),"")</x:f>
        <x:v>392844</x:v>
      </x:c>
      <x:c r="E203" s="44" t="n">
        <x:f>IF(COUNT('台北每日數據'!C203:D203)=2,'台北每日數據'!G203,"")</x:f>
        <x:v>1516</x:v>
      </x:c>
      <x:c r="F203" s="44" t="n">
        <x:f>IF(COUNT('新北每日數據'!C203:D203)=2,'新北每日數據'!G203,"")</x:f>
        <x:v>908</x:v>
      </x:c>
      <x:c r="G203" s="44" t="n">
        <x:f>IF(COUNT(E203:F203)=2,SUM(E203:F203),"")</x:f>
        <x:v>2424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43" t="n">
        <x:f>'台北每日數據'!A204</x:f>
        <x:v>46036</x:v>
      </x:c>
      <x:c r="B204" s="44" t="n">
        <x:f>IF(COUNT('台北每日數據'!C204:D204)=2,'台北每日數據'!B204,"")</x:f>
        <x:v>265849</x:v>
      </x:c>
      <x:c r="C204" s="44" t="n">
        <x:f>IF(COUNT('新北每日數據'!C204:D204)=2,'新北每日數據'!B204,"")</x:f>
        <x:v>136254</x:v>
      </x:c>
      <x:c r="D204" s="44" t="n">
        <x:f>IF(COUNT(B204:C204)=2,SUM(B204:C204),"")</x:f>
        <x:v>402103</x:v>
      </x:c>
      <x:c r="E204" s="44" t="n">
        <x:f>IF(COUNT('台北每日數據'!C204:D204)=2,'台北每日數據'!G204,"")</x:f>
        <x:v>1606</x:v>
      </x:c>
      <x:c r="F204" s="44" t="n">
        <x:f>IF(COUNT('新北每日數據'!C204:D204)=2,'新北每日數據'!G204,"")</x:f>
        <x:v>909</x:v>
      </x:c>
      <x:c r="G204" s="44" t="n">
        <x:f>IF(COUNT(E204:F204)=2,SUM(E204:F204),"")</x:f>
        <x:v>2515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43" t="n">
        <x:f>'台北每日數據'!A205</x:f>
        <x:v>46037</x:v>
      </x:c>
      <x:c r="B205" s="44" t="n">
        <x:f>IF(COUNT('台北每日數據'!C205:D205)=2,'台北每日數據'!B205,"")</x:f>
        <x:v>266635</x:v>
      </x:c>
      <x:c r="C205" s="44" t="n">
        <x:f>IF(COUNT('新北每日數據'!C205:D205)=2,'新北每日數據'!B205,"")</x:f>
        <x:v>138433</x:v>
      </x:c>
      <x:c r="D205" s="44" t="n">
        <x:f>IF(COUNT(B205:C205)=2,SUM(B205:C205),"")</x:f>
        <x:v>405068</x:v>
      </x:c>
      <x:c r="E205" s="44" t="n">
        <x:f>IF(COUNT('台北每日數據'!C205:D205)=2,'台北每日數據'!G205,"")</x:f>
        <x:v>1534</x:v>
      </x:c>
      <x:c r="F205" s="44" t="n">
        <x:f>IF(COUNT('新北每日數據'!C205:D205)=2,'新北每日數據'!G205,"")</x:f>
        <x:v>927</x:v>
      </x:c>
      <x:c r="G205" s="44" t="n">
        <x:f>IF(COUNT(E205:F205)=2,SUM(E205:F205),"")</x:f>
        <x:v>2461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43" t="n">
        <x:f>'台北每日數據'!A206</x:f>
        <x:v>46038</x:v>
      </x:c>
      <x:c r="B206" s="44" t="n">
        <x:f>IF(COUNT('台北每日數據'!C206:D206)=2,'台北每日數據'!B206,"")</x:f>
        <x:v>270425</x:v>
      </x:c>
      <x:c r="C206" s="44" t="n">
        <x:f>IF(COUNT('新北每日數據'!C206:D206)=2,'新北每日數據'!B206,"")</x:f>
        <x:v>145034</x:v>
      </x:c>
      <x:c r="D206" s="44" t="n">
        <x:f>IF(COUNT(B206:C206)=2,SUM(B206:C206),"")</x:f>
        <x:v>415459</x:v>
      </x:c>
      <x:c r="E206" s="44" t="n">
        <x:f>IF(COUNT('台北每日數據'!C206:D206)=2,'台北每日數據'!G206,"")</x:f>
        <x:v>1462</x:v>
      </x:c>
      <x:c r="F206" s="44" t="n">
        <x:f>IF(COUNT('新北每日數據'!C206:D206)=2,'新北每日數據'!G206,"")</x:f>
        <x:v>851</x:v>
      </x:c>
      <x:c r="G206" s="44" t="n">
        <x:f>IF(COUNT(E206:F206)=2,SUM(E206:F206),"")</x:f>
        <x:v>2313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43" t="n">
        <x:f>'台北每日數據'!A207</x:f>
        <x:v>46039</x:v>
      </x:c>
      <x:c r="B207" s="44" t="n">
        <x:f>IF(COUNT('台北每日數據'!C207:D207)=2,'台北每日數據'!B207,"")</x:f>
        <x:v>231642</x:v>
      </x:c>
      <x:c r="C207" s="44" t="n">
        <x:f>IF(COUNT('新北每日數據'!C207:D207)=2,'新北每日數據'!B207,"")</x:f>
        <x:v>138626</x:v>
      </x:c>
      <x:c r="D207" s="44" t="n">
        <x:f>IF(COUNT(B207:C207)=2,SUM(B207:C207),"")</x:f>
        <x:v>370268</x:v>
      </x:c>
      <x:c r="E207" s="44" t="n">
        <x:f>IF(COUNT('台北每日數據'!C207:D207)=2,'台北每日數據'!G207,"")</x:f>
        <x:v>1583</x:v>
      </x:c>
      <x:c r="F207" s="44" t="n">
        <x:f>IF(COUNT('新北每日數據'!C207:D207)=2,'新北每日數據'!G207,"")</x:f>
        <x:v>981</x:v>
      </x:c>
      <x:c r="G207" s="44" t="n">
        <x:f>IF(COUNT(E207:F207)=2,SUM(E207:F207),"")</x:f>
        <x:v>2564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43" t="n">
        <x:f>'台北每日數據'!A208</x:f>
        <x:v>46040</x:v>
      </x:c>
      <x:c r="B208" s="44" t="n">
        <x:f>IF(COUNT('台北每日數據'!C208:D208)=2,'台北每日數據'!B208,"")</x:f>
        <x:v>214202</x:v>
      </x:c>
      <x:c r="C208" s="44" t="n">
        <x:f>IF(COUNT('新北每日數據'!C208:D208)=2,'新北每日數據'!B208,"")</x:f>
        <x:v>126500</x:v>
      </x:c>
      <x:c r="D208" s="44" t="n">
        <x:f>IF(COUNT(B208:C208)=2,SUM(B208:C208),"")</x:f>
        <x:v>340702</x:v>
      </x:c>
      <x:c r="E208" s="44" t="n">
        <x:f>IF(COUNT('台北每日數據'!C208:D208)=2,'台北每日數據'!G208,"")</x:f>
        <x:v>1521</x:v>
      </x:c>
      <x:c r="F208" s="44" t="n">
        <x:f>IF(COUNT('新北每日數據'!C208:D208)=2,'新北每日數據'!G208,"")</x:f>
        <x:v>934</x:v>
      </x:c>
      <x:c r="G208" s="44" t="n">
        <x:f>IF(COUNT(E208:F208)=2,SUM(E208:F208),"")</x:f>
        <x:v>2455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43" t="n">
        <x:f>'台北每日數據'!A209</x:f>
        <x:v>46041</x:v>
      </x:c>
      <x:c r="B209" s="44" t="n">
        <x:f>IF(COUNT('台北每日數據'!C209:D209)=2,'台北每日數據'!B209,"")</x:f>
        <x:v>205459</x:v>
      </x:c>
      <x:c r="C209" s="44" t="n">
        <x:f>IF(COUNT('新北每日數據'!C209:D209)=2,'新北每日數據'!B209,"")</x:f>
        <x:v>99640</x:v>
      </x:c>
      <x:c r="D209" s="44" t="n">
        <x:f>IF(COUNT(B209:C209)=2,SUM(B209:C209),"")</x:f>
        <x:v>305099</x:v>
      </x:c>
      <x:c r="E209" s="44" t="n">
        <x:f>IF(COUNT('台北每日數據'!C209:D209)=2,'台北每日數據'!G209,"")</x:f>
        <x:v>1302</x:v>
      </x:c>
      <x:c r="F209" s="44" t="n">
        <x:f>IF(COUNT('新北每日數據'!C209:D209)=2,'新北每日數據'!G209,"")</x:f>
        <x:v>620</x:v>
      </x:c>
      <x:c r="G209" s="44" t="n">
        <x:f>IF(COUNT(E209:F209)=2,SUM(E209:F209),"")</x:f>
        <x:v>1922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43" t="n">
        <x:f>'台北每日數據'!A210</x:f>
        <x:v>46042</x:v>
      </x:c>
      <x:c r="B210" s="44" t="n">
        <x:f>IF(COUNT('台北每日數據'!C210:D210)=2,'台北每日數據'!B210,"")</x:f>
        <x:v>223174</x:v>
      </x:c>
      <x:c r="C210" s="44" t="n">
        <x:f>IF(COUNT('新北每日數據'!C210:D210)=2,'新北每日數據'!B210,"")</x:f>
        <x:v>124556</x:v>
      </x:c>
      <x:c r="D210" s="44" t="n">
        <x:f>IF(COUNT(B210:C210)=2,SUM(B210:C210),"")</x:f>
        <x:v>347730</x:v>
      </x:c>
      <x:c r="E210" s="44" t="n">
        <x:f>IF(COUNT('台北每日數據'!C210:D210)=2,'台北每日數據'!G210,"")</x:f>
        <x:v>1216</x:v>
      </x:c>
      <x:c r="F210" s="44" t="n">
        <x:f>IF(COUNT('新北每日數據'!C210:D210)=2,'新北每日數據'!G210,"")</x:f>
        <x:v>610</x:v>
      </x:c>
      <x:c r="G210" s="44" t="n">
        <x:f>IF(COUNT(E210:F210)=2,SUM(E210:F210),"")</x:f>
        <x:v>1826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43" t="n">
        <x:f>'台北每日數據'!A211</x:f>
        <x:v>46043</x:v>
      </x:c>
      <x:c r="B211" s="44" t="n">
        <x:f>IF(COUNT('台北每日數據'!C211:D211)=2,'台北每日數據'!B211,"")</x:f>
        <x:v>197756</x:v>
      </x:c>
      <x:c r="C211" s="44" t="n">
        <x:f>IF(COUNT('新北每日數據'!C211:D211)=2,'新北每日數據'!B211,"")</x:f>
        <x:v>102506</x:v>
      </x:c>
      <x:c r="D211" s="44" t="n">
        <x:f>IF(COUNT(B211:C211)=2,SUM(B211:C211),"")</x:f>
        <x:v>300262</x:v>
      </x:c>
      <x:c r="E211" s="44" t="n">
        <x:f>IF(COUNT('台北每日數據'!C211:D211)=2,'台北每日數據'!G211,"")</x:f>
        <x:v>1033</x:v>
      </x:c>
      <x:c r="F211" s="44" t="n">
        <x:f>IF(COUNT('新北每日數據'!C211:D211)=2,'新北每日數據'!G211,"")</x:f>
        <x:v>559</x:v>
      </x:c>
      <x:c r="G211" s="44" t="n">
        <x:f>IF(COUNT(E211:F211)=2,SUM(E211:F211),"")</x:f>
        <x:v>1592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43" t="n">
        <x:f>'台北每日數據'!A212</x:f>
        <x:v>46044</x:v>
      </x:c>
      <x:c r="B212" s="44" t="n">
        <x:f>IF(COUNT('台北每日數據'!C212:D212)=2,'台北每日數據'!B212,"")</x:f>
        <x:v>116919</x:v>
      </x:c>
      <x:c r="C212" s="44" t="n">
        <x:f>IF(COUNT('新北每日數據'!C212:D212)=2,'新北每日數據'!B212,"")</x:f>
        <x:v>72701</x:v>
      </x:c>
      <x:c r="D212" s="44" t="n">
        <x:f>IF(COUNT(B212:C212)=2,SUM(B212:C212),"")</x:f>
        <x:v>189620</x:v>
      </x:c>
      <x:c r="E212" s="44" t="n">
        <x:f>IF(COUNT('台北每日數據'!C212:D212)=2,'台北每日數據'!G212,"")</x:f>
        <x:v>689</x:v>
      </x:c>
      <x:c r="F212" s="44" t="n">
        <x:f>IF(COUNT('新北每日數據'!C212:D212)=2,'新北每日數據'!G212,"")</x:f>
        <x:v>426</x:v>
      </x:c>
      <x:c r="G212" s="44" t="n">
        <x:f>IF(COUNT(E212:F212)=2,SUM(E212:F212),"")</x:f>
        <x:v>1115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43" t="n">
        <x:f>'台北每日數據'!A213</x:f>
        <x:v>46045</x:v>
      </x:c>
      <x:c r="B213" s="44" t="n">
        <x:f>IF(COUNT('台北每日數據'!C213:D213)=2,'台北每日數據'!B213,"")</x:f>
        <x:v>247364</x:v>
      </x:c>
      <x:c r="C213" s="44" t="n">
        <x:f>IF(COUNT('新北每日數據'!C213:D213)=2,'新北每日數據'!B213,"")</x:f>
        <x:v>134451</x:v>
      </x:c>
      <x:c r="D213" s="44" t="n">
        <x:f>IF(COUNT(B213:C213)=2,SUM(B213:C213),"")</x:f>
        <x:v>381815</x:v>
      </x:c>
      <x:c r="E213" s="44" t="n">
        <x:f>IF(COUNT('台北每日數據'!C213:D213)=2,'台北每日數據'!G213,"")</x:f>
        <x:v>1555</x:v>
      </x:c>
      <x:c r="F213" s="44" t="n">
        <x:f>IF(COUNT('新北每日數據'!C213:D213)=2,'新北每日數據'!G213,"")</x:f>
        <x:v>872</x:v>
      </x:c>
      <x:c r="G213" s="44" t="n">
        <x:f>IF(COUNT(E213:F213)=2,SUM(E213:F213),"")</x:f>
        <x:v>2427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43" t="n">
        <x:f>'台北每日數據'!A214</x:f>
        <x:v>46046</x:v>
      </x:c>
      <x:c r="B214" s="44" t="n">
        <x:f>IF(COUNT('台北每日數據'!C214:D214)=2,'台北每日數據'!B214,"")</x:f>
        <x:v>177256</x:v>
      </x:c>
      <x:c r="C214" s="44" t="n">
        <x:f>IF(COUNT('新北每日數據'!C214:D214)=2,'新北每日數據'!B214,"")</x:f>
        <x:v>112842</x:v>
      </x:c>
      <x:c r="D214" s="44" t="n">
        <x:f>IF(COUNT(B214:C214)=2,SUM(B214:C214),"")</x:f>
        <x:v>290098</x:v>
      </x:c>
      <x:c r="E214" s="44" t="n">
        <x:f>IF(COUNT('台北每日數據'!C214:D214)=2,'台北每日數據'!G214,"")</x:f>
        <x:v>1205</x:v>
      </x:c>
      <x:c r="F214" s="44" t="n">
        <x:f>IF(COUNT('新北每日數據'!C214:D214)=2,'新北每日數據'!G214,"")</x:f>
        <x:v>771</x:v>
      </x:c>
      <x:c r="G214" s="44" t="n">
        <x:f>IF(COUNT(E214:F214)=2,SUM(E214:F214),"")</x:f>
        <x:v>1976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43" t="n">
        <x:f>'台北每日數據'!A215</x:f>
        <x:v>46047</x:v>
      </x:c>
      <x:c r="B215" s="44" t="n">
        <x:f>IF(COUNT('台北每日數據'!C215:D215)=2,'台北每日數據'!B215,"")</x:f>
        <x:v>219806</x:v>
      </x:c>
      <x:c r="C215" s="44" t="n">
        <x:f>IF(COUNT('新北每日數據'!C215:D215)=2,'新北每日數據'!B215,"")</x:f>
        <x:v>128656</x:v>
      </x:c>
      <x:c r="D215" s="44" t="n">
        <x:f>IF(COUNT(B215:C215)=2,SUM(B215:C215),"")</x:f>
        <x:v>348462</x:v>
      </x:c>
      <x:c r="E215" s="44" t="n">
        <x:f>IF(COUNT('台北每日數據'!C215:D215)=2,'台北每日數據'!G215,"")</x:f>
        <x:v>1775</x:v>
      </x:c>
      <x:c r="F215" s="44" t="n">
        <x:f>IF(COUNT('新北每日數據'!C215:D215)=2,'新北每日數據'!G215,"")</x:f>
        <x:v>1101</x:v>
      </x:c>
      <x:c r="G215" s="44" t="n">
        <x:f>IF(COUNT(E215:F215)=2,SUM(E215:F215),"")</x:f>
        <x:v>2876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43" t="n">
        <x:f>'台北每日數據'!A216</x:f>
        <x:v>46048</x:v>
      </x:c>
      <x:c r="B216" s="44" t="n">
        <x:f>IF(COUNT('台北每日數據'!C216:D216)=2,'台北每日數據'!B216,"")</x:f>
        <x:v>258472</x:v>
      </x:c>
      <x:c r="C216" s="44" t="n">
        <x:f>IF(COUNT('新北每日數據'!C216:D216)=2,'新北每日數據'!B216,"")</x:f>
        <x:v>137618</x:v>
      </x:c>
      <x:c r="D216" s="44" t="n">
        <x:f>IF(COUNT(B216:C216)=2,SUM(B216:C216),"")</x:f>
        <x:v>396090</x:v>
      </x:c>
      <x:c r="E216" s="44" t="n">
        <x:f>IF(COUNT('台北每日數據'!C216:D216)=2,'台北每日數據'!G216,"")</x:f>
        <x:v>1776</x:v>
      </x:c>
      <x:c r="F216" s="44" t="n">
        <x:f>IF(COUNT('新北每日數據'!C216:D216)=2,'新北每日數據'!G216,"")</x:f>
        <x:v>964</x:v>
      </x:c>
      <x:c r="G216" s="44" t="n">
        <x:f>IF(COUNT(E216:F216)=2,SUM(E216:F216),"")</x:f>
        <x:v>2740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43" t="n">
        <x:f>'台北每日數據'!A217</x:f>
        <x:v>46049</x:v>
      </x:c>
      <x:c r="B217" s="44" t="n">
        <x:f>IF(COUNT('台北每日數據'!C217:D217)=2,'台北每日數據'!B217,"")</x:f>
        <x:v>187964</x:v>
      </x:c>
      <x:c r="C217" s="44" t="n">
        <x:f>IF(COUNT('新北每日數據'!C217:D217)=2,'新北每日數據'!B217,"")</x:f>
        <x:v>98769</x:v>
      </x:c>
      <x:c r="D217" s="44" t="n">
        <x:f>IF(COUNT(B217:C217)=2,SUM(B217:C217),"")</x:f>
        <x:v>286733</x:v>
      </x:c>
      <x:c r="E217" s="44" t="n">
        <x:f>IF(COUNT('台北每日數據'!C217:D217)=2,'台北每日數據'!G217,"")</x:f>
        <x:v>1438</x:v>
      </x:c>
      <x:c r="F217" s="44" t="n">
        <x:f>IF(COUNT('新北每日數據'!C217:D217)=2,'新北每日數據'!G217,"")</x:f>
        <x:v>733</x:v>
      </x:c>
      <x:c r="G217" s="44" t="n">
        <x:f>IF(COUNT(E217:F217)=2,SUM(E217:F217),"")</x:f>
        <x:v>2171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43" t="n">
        <x:f>'台北每日數據'!A218</x:f>
        <x:v>46050</x:v>
      </x:c>
      <x:c r="B218" s="44" t="n">
        <x:f>IF(COUNT('台北每日數據'!C218:D218)=2,'台北每日數據'!B218,"")</x:f>
        <x:v>244374</x:v>
      </x:c>
      <x:c r="C218" s="44" t="n">
        <x:f>IF(COUNT('新北每日數據'!C218:D218)=2,'新北每日數據'!B218,"")</x:f>
        <x:v>126136</x:v>
      </x:c>
      <x:c r="D218" s="44" t="n">
        <x:f>IF(COUNT(B218:C218)=2,SUM(B218:C218),"")</x:f>
        <x:v>370510</x:v>
      </x:c>
      <x:c r="E218" s="44" t="n">
        <x:f>IF(COUNT('台北每日數據'!C218:D218)=2,'台北每日數據'!G218,"")</x:f>
        <x:v>1662</x:v>
      </x:c>
      <x:c r="F218" s="44" t="n">
        <x:f>IF(COUNT('新北每日數據'!C218:D218)=2,'新北每日數據'!G218,"")</x:f>
        <x:v>802</x:v>
      </x:c>
      <x:c r="G218" s="44" t="n">
        <x:f>IF(COUNT(E218:F218)=2,SUM(E218:F218),"")</x:f>
        <x:v>2464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43" t="n">
        <x:f>'台北每日數據'!A219</x:f>
        <x:v>46051</x:v>
      </x:c>
      <x:c r="B219" s="44" t="n">
        <x:f>IF(COUNT('台北每日數據'!C219:D219)=2,'台北每日數據'!B219,"")</x:f>
        <x:v>269254</x:v>
      </x:c>
      <x:c r="C219" s="44" t="n">
        <x:f>IF(COUNT('新北每日數據'!C219:D219)=2,'新北每日數據'!B219,"")</x:f>
        <x:v>141581</x:v>
      </x:c>
      <x:c r="D219" s="44" t="n">
        <x:f>IF(COUNT(B219:C219)=2,SUM(B219:C219),"")</x:f>
        <x:v>410835</x:v>
      </x:c>
      <x:c r="E219" s="44" t="n">
        <x:f>IF(COUNT('台北每日數據'!C219:D219)=2,'台北每日數據'!G219,"")</x:f>
        <x:v>2102</x:v>
      </x:c>
      <x:c r="F219" s="44" t="n">
        <x:f>IF(COUNT('新北每日數據'!C219:D219)=2,'新北每日數據'!G219,"")</x:f>
        <x:v>1157</x:v>
      </x:c>
      <x:c r="G219" s="44" t="n">
        <x:f>IF(COUNT(E219:F219)=2,SUM(E219:F219),"")</x:f>
        <x:v>3259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43" t="n">
        <x:f>'台北每日數據'!A220</x:f>
        <x:v>46052</x:v>
      </x:c>
      <x:c r="B220" s="44" t="n">
        <x:f>IF(COUNT('台北每日數據'!C220:D220)=2,'台北每日數據'!B220,"")</x:f>
        <x:v>277853</x:v>
      </x:c>
      <x:c r="C220" s="44" t="n">
        <x:f>IF(COUNT('新北每日數據'!C220:D220)=2,'新北每日數據'!B220,"")</x:f>
        <x:v>148078</x:v>
      </x:c>
      <x:c r="D220" s="44" t="n">
        <x:f>IF(COUNT(B220:C220)=2,SUM(B220:C220),"")</x:f>
        <x:v>425931</x:v>
      </x:c>
      <x:c r="E220" s="44" t="n">
        <x:f>IF(COUNT('台北每日數據'!C220:D220)=2,'台北每日數據'!G220,"")</x:f>
        <x:v>2350</x:v>
      </x:c>
      <x:c r="F220" s="44" t="n">
        <x:f>IF(COUNT('新北每日數據'!C220:D220)=2,'新北每日數據'!G220,"")</x:f>
        <x:v>1316</x:v>
      </x:c>
      <x:c r="G220" s="44" t="n">
        <x:f>IF(COUNT(E220:F220)=2,SUM(E220:F220),"")</x:f>
        <x:v>3666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43" t="n">
        <x:f>'台北每日數據'!A221</x:f>
        <x:v>46053</x:v>
      </x:c>
      <x:c r="B221" s="44" t="n">
        <x:f>IF(COUNT('台北每日數據'!C221:D221)=2,'台北每日數據'!B221,"")</x:f>
        <x:v>154013</x:v>
      </x:c>
      <x:c r="C221" s="44" t="n">
        <x:f>IF(COUNT('新北每日數據'!C221:D221)=2,'新北每日數據'!B221,"")</x:f>
        <x:v>73544</x:v>
      </x:c>
      <x:c r="D221" s="44" t="n">
        <x:f>IF(COUNT(B221:C221)=2,SUM(B221:C221),"")</x:f>
        <x:v>227557</x:v>
      </x:c>
      <x:c r="E221" s="44" t="n">
        <x:f>IF(COUNT('台北每日數據'!C221:D221)=2,'台北每日數據'!G221,"")</x:f>
        <x:v>2001</x:v>
      </x:c>
      <x:c r="F221" s="44" t="n">
        <x:f>IF(COUNT('新北每日數據'!C221:D221)=2,'新北每日數據'!G221,"")</x:f>
        <x:v>827</x:v>
      </x:c>
      <x:c r="G221" s="44" t="n">
        <x:f>IF(COUNT(E221:F221)=2,SUM(E221:F221),"")</x:f>
        <x:v>2828</x:v>
      </x:c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43" t="n">
        <x:f>'台北每日數據'!A222</x:f>
        <x:v>46054</x:v>
      </x:c>
      <x:c r="B222" s="44" t="n">
        <x:f>IF(COUNT('台北每日數據'!C222:D222)=2,'台北每日數據'!B222,"")</x:f>
        <x:v>95988</x:v>
      </x:c>
      <x:c r="C222" s="44" t="n">
        <x:f>IF(COUNT('新北每日數據'!C222:D222)=2,'新北每日數據'!B222,"")</x:f>
        <x:v>62578</x:v>
      </x:c>
      <x:c r="D222" s="44" t="n">
        <x:f>IF(COUNT(B222:C222)=2,SUM(B222:C222),"")</x:f>
        <x:v>158566</x:v>
      </x:c>
      <x:c r="E222" s="44" t="n">
        <x:f>IF(COUNT('台北每日數據'!C222:D222)=2,'台北每日數據'!G222,"")</x:f>
        <x:v>654</x:v>
      </x:c>
      <x:c r="F222" s="44" t="n">
        <x:f>IF(COUNT('新北每日數據'!C222:D222)=2,'新北每日數據'!G222,"")</x:f>
        <x:v>468</x:v>
      </x:c>
      <x:c r="G222" s="44" t="n">
        <x:f>IF(COUNT(E222:F222)=2,SUM(E222:F222),"")</x:f>
        <x:v>1122</x:v>
      </x:c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43" t="n">
        <x:f>'台北每日數據'!A223</x:f>
        <x:v>46055</x:v>
      </x:c>
      <x:c r="B223" s="44" t="n">
        <x:f>IF(COUNT('台北每日數據'!C223:D223)=2,'台北每日數據'!B223,"")</x:f>
        <x:v>201423</x:v>
      </x:c>
      <x:c r="C223" s="44" t="n">
        <x:f>IF(COUNT('新北每日數據'!C223:D223)=2,'新北每日數據'!B223,"")</x:f>
        <x:v>101696</x:v>
      </x:c>
      <x:c r="D223" s="44" t="n">
        <x:f>IF(COUNT(B223:C223)=2,SUM(B223:C223),"")</x:f>
        <x:v>303119</x:v>
      </x:c>
      <x:c r="E223" s="44" t="n">
        <x:f>IF(COUNT('台北每日數據'!C223:D223)=2,'台北每日數據'!G223,"")</x:f>
        <x:v>1056</x:v>
      </x:c>
      <x:c r="F223" s="44" t="n">
        <x:f>IF(COUNT('新北每日數據'!C223:D223)=2,'新北每日數據'!G223,"")</x:f>
        <x:v>587</x:v>
      </x:c>
      <x:c r="G223" s="44" t="n">
        <x:f>IF(COUNT(E223:F223)=2,SUM(E223:F223),"")</x:f>
        <x:v>1643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43" t="n">
        <x:f>'台北每日數據'!A224</x:f>
        <x:v>46056</x:v>
      </x:c>
      <x:c r="B224" s="44" t="n">
        <x:f>IF(COUNT('台北每日數據'!C224:D224)=2,'台北每日數據'!B224,"")</x:f>
        <x:v>258762</x:v>
      </x:c>
      <x:c r="C224" s="44" t="n">
        <x:f>IF(COUNT('新北每日數據'!C224:D224)=2,'新北每日數據'!B224,"")</x:f>
        <x:v>136843</x:v>
      </x:c>
      <x:c r="D224" s="44" t="n">
        <x:f>IF(COUNT(B224:C224)=2,SUM(B224:C224),"")</x:f>
        <x:v>395605</x:v>
      </x:c>
      <x:c r="E224" s="44" t="n">
        <x:f>IF(COUNT('台北每日數據'!C224:D224)=2,'台北每日數據'!G224,"")</x:f>
        <x:v>1554</x:v>
      </x:c>
      <x:c r="F224" s="44" t="n">
        <x:f>IF(COUNT('新北每日數據'!C224:D224)=2,'新北每日數據'!G224,"")</x:f>
        <x:v>961</x:v>
      </x:c>
      <x:c r="G224" s="44" t="n">
        <x:f>IF(COUNT(E224:F224)=2,SUM(E224:F224),"")</x:f>
        <x:v>2515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43" t="n">
        <x:f>'台北每日數據'!A225</x:f>
        <x:v>46057</x:v>
      </x:c>
      <x:c r="B225" s="44" t="n">
        <x:f>IF(COUNT('台北每日數據'!C225:D225)=2,'台北每日數據'!B225,"")</x:f>
        <x:v>275251</x:v>
      </x:c>
      <x:c r="C225" s="44" t="n">
        <x:f>IF(COUNT('新北每日數據'!C225:D225)=2,'新北每日數據'!B225,"")</x:f>
        <x:v>143702</x:v>
      </x:c>
      <x:c r="D225" s="44" t="n">
        <x:f>IF(COUNT(B225:C225)=2,SUM(B225:C225),"")</x:f>
        <x:v>418953</x:v>
      </x:c>
      <x:c r="E225" s="44" t="n">
        <x:f>IF(COUNT('台北每日數據'!C225:D225)=2,'台北每日數據'!G225,"")</x:f>
        <x:v>1703</x:v>
      </x:c>
      <x:c r="F225" s="44" t="n">
        <x:f>IF(COUNT('新北每日數據'!C225:D225)=2,'新北每日數據'!G225,"")</x:f>
        <x:v>961</x:v>
      </x:c>
      <x:c r="G225" s="44" t="n">
        <x:f>IF(COUNT(E225:F225)=2,SUM(E225:F225),"")</x:f>
        <x:v>2664</x:v>
      </x:c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43" t="n">
        <x:f>'台北每日數據'!A226</x:f>
        <x:v>46058</x:v>
      </x:c>
      <x:c r="B226" s="44" t="n">
        <x:f>IF(COUNT('台北每日數據'!C226:D226)=2,'台北每日數據'!B226,"")</x:f>
        <x:v>276921</x:v>
      </x:c>
      <x:c r="C226" s="44" t="n">
        <x:f>IF(COUNT('新北每日數據'!C226:D226)=2,'新北每日數據'!B226,"")</x:f>
        <x:v>146442</x:v>
      </x:c>
      <x:c r="D226" s="44" t="n">
        <x:f>IF(COUNT(B226:C226)=2,SUM(B226:C226),"")</x:f>
        <x:v>423363</x:v>
      </x:c>
      <x:c r="E226" s="44" t="n">
        <x:f>IF(COUNT('台北每日數據'!C226:D226)=2,'台北每日數據'!G226,"")</x:f>
        <x:v>1720</x:v>
      </x:c>
      <x:c r="F226" s="44" t="n">
        <x:f>IF(COUNT('新北每日數據'!C226:D226)=2,'新北每日數據'!G226,"")</x:f>
        <x:v>984</x:v>
      </x:c>
      <x:c r="G226" s="44" t="n">
        <x:f>IF(COUNT(E226:F226)=2,SUM(E226:F226),"")</x:f>
        <x:v>2704</x:v>
      </x:c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43" t="n">
        <x:f>'台北每日數據'!A227</x:f>
        <x:v>46059</x:v>
      </x:c>
      <x:c r="B227" s="44" t="n">
        <x:f>IF(COUNT('台北每日數據'!C227:D227)=2,'台北每日數據'!B227,"")</x:f>
        <x:v>230605</x:v>
      </x:c>
      <x:c r="C227" s="44" t="n">
        <x:f>IF(COUNT('新北每日數據'!C227:D227)=2,'新北每日數據'!B227,"")</x:f>
        <x:v>122785</x:v>
      </x:c>
      <x:c r="D227" s="44" t="n">
        <x:f>IF(COUNT(B227:C227)=2,SUM(B227:C227),"")</x:f>
        <x:v>353390</x:v>
      </x:c>
      <x:c r="E227" s="44" t="n">
        <x:f>IF(COUNT('台北每日數據'!C227:D227)=2,'台北每日數據'!G227,"")</x:f>
        <x:v>1339</x:v>
      </x:c>
      <x:c r="F227" s="44" t="n">
        <x:f>IF(COUNT('新北每日數據'!C227:D227)=2,'新北每日數據'!G227,"")</x:f>
        <x:v>844</x:v>
      </x:c>
      <x:c r="G227" s="44" t="n">
        <x:f>IF(COUNT(E227:F227)=2,SUM(E227:F227),"")</x:f>
        <x:v>2183</x:v>
      </x:c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43" t="n">
        <x:f>'台北每日數據'!A228</x:f>
        <x:v>46060</x:v>
      </x:c>
      <x:c r="B228" s="44" t="n">
        <x:f>IF(COUNT('台北每日數據'!C228:D228)=2,'台北每日數據'!B228,"")</x:f>
        <x:v>183927</x:v>
      </x:c>
      <x:c r="C228" s="44" t="n">
        <x:f>IF(COUNT('新北每日數據'!C228:D228)=2,'新北每日數據'!B228,"")</x:f>
        <x:v>101814</x:v>
      </x:c>
      <x:c r="D228" s="44" t="n">
        <x:f>IF(COUNT(B228:C228)=2,SUM(B228:C228),"")</x:f>
        <x:v>285741</x:v>
      </x:c>
      <x:c r="E228" s="44" t="n">
        <x:f>IF(COUNT('台北每日數據'!C228:D228)=2,'台北每日數據'!G228,"")</x:f>
        <x:v>1176</x:v>
      </x:c>
      <x:c r="F228" s="44" t="n">
        <x:f>IF(COUNT('新北每日數據'!C228:D228)=2,'新北每日數據'!G228,"")</x:f>
        <x:v>659</x:v>
      </x:c>
      <x:c r="G228" s="44" t="n">
        <x:f>IF(COUNT(E228:F228)=2,SUM(E228:F228),"")</x:f>
        <x:v>1835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43" t="n">
        <x:f>'台北每日數據'!A229</x:f>
        <x:v>46061</x:v>
      </x:c>
      <x:c r="B229" s="44" t="n">
        <x:f>IF(COUNT('台北每日數據'!C229:D229)=2,'台北每日數據'!B229,"")</x:f>
        <x:v>158780</x:v>
      </x:c>
      <x:c r="C229" s="44" t="n">
        <x:f>IF(COUNT('新北每日數據'!C229:D229)=2,'新北每日數據'!B229,"")</x:f>
        <x:v>93303</x:v>
      </x:c>
      <x:c r="D229" s="44" t="n">
        <x:f>IF(COUNT(B229:C229)=2,SUM(B229:C229),"")</x:f>
        <x:v>252083</x:v>
      </x:c>
      <x:c r="E229" s="44" t="n">
        <x:f>IF(COUNT('台北每日數據'!C229:D229)=2,'台北每日數據'!G229,"")</x:f>
        <x:v>992</x:v>
      </x:c>
      <x:c r="F229" s="44" t="n">
        <x:f>IF(COUNT('新北每日數據'!C229:D229)=2,'新北每日數據'!G229,"")</x:f>
        <x:v>612</x:v>
      </x:c>
      <x:c r="G229" s="44" t="n">
        <x:f>IF(COUNT(E229:F229)=2,SUM(E229:F229),"")</x:f>
        <x:v>1604</x:v>
      </x:c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43" t="n">
        <x:f>'台北每日數據'!A230</x:f>
        <x:v>46062</x:v>
      </x:c>
      <x:c r="B230" s="44" t="n">
        <x:f>IF(COUNT('台北每日數據'!C230:D230)=2,'台北每日數據'!B230,"")</x:f>
        <x:v>236598</x:v>
      </x:c>
      <x:c r="C230" s="44" t="n">
        <x:f>IF(COUNT('新北每日數據'!C230:D230)=2,'新北每日數據'!B230,"")</x:f>
        <x:v>127015</x:v>
      </x:c>
      <x:c r="D230" s="44" t="n">
        <x:f>IF(COUNT(B230:C230)=2,SUM(B230:C230),"")</x:f>
        <x:v>363613</x:v>
      </x:c>
      <x:c r="E230" s="44" t="n">
        <x:f>IF(COUNT('台北每日數據'!C230:D230)=2,'台北每日數據'!G230,"")</x:f>
        <x:v>1335</x:v>
      </x:c>
      <x:c r="F230" s="44" t="n">
        <x:f>IF(COUNT('新北每日數據'!C230:D230)=2,'新北每日數據'!G230,"")</x:f>
        <x:v>845</x:v>
      </x:c>
      <x:c r="G230" s="44" t="n">
        <x:f>IF(COUNT(E230:F230)=2,SUM(E230:F230),"")</x:f>
        <x:v>2180</x:v>
      </x:c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43" t="n">
        <x:f>'台北每日數據'!A231</x:f>
        <x:v>46063</x:v>
      </x:c>
      <x:c r="B231" s="44" t="n">
        <x:f>IF(COUNT('台北每日數據'!C231:D231)=2,'台北每日數據'!B231,"")</x:f>
        <x:v>269752</x:v>
      </x:c>
      <x:c r="C231" s="44" t="n">
        <x:f>IF(COUNT('新北每日數據'!C231:D231)=2,'新北每日數據'!B231,"")</x:f>
        <x:v>142456</x:v>
      </x:c>
      <x:c r="D231" s="44" t="n">
        <x:f>IF(COUNT(B231:C231)=2,SUM(B231:C231),"")</x:f>
        <x:v>412208</x:v>
      </x:c>
      <x:c r="E231" s="44" t="n">
        <x:f>IF(COUNT('台北每日數據'!C231:D231)=2,'台北每日數據'!G231,"")</x:f>
        <x:v>1750</x:v>
      </x:c>
      <x:c r="F231" s="44" t="n">
        <x:f>IF(COUNT('新北每日數據'!C231:D231)=2,'新北每日數據'!G231,"")</x:f>
        <x:v>982</x:v>
      </x:c>
      <x:c r="G231" s="44" t="n">
        <x:f>IF(COUNT(E231:F231)=2,SUM(E231:F231),"")</x:f>
        <x:v>2732</x:v>
      </x:c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43" t="n">
        <x:f>'台北每日數據'!A232</x:f>
        <x:v>46064</x:v>
      </x:c>
      <x:c r="B232" s="44" t="n">
        <x:f>IF(COUNT('台北每日數據'!C232:D232)=2,'台北每日數據'!B232,"")</x:f>
        <x:v>253961</x:v>
      </x:c>
      <x:c r="C232" s="44" t="n">
        <x:f>IF(COUNT('新北每日數據'!C232:D232)=2,'新北每日數據'!B232,"")</x:f>
        <x:v>132915</x:v>
      </x:c>
      <x:c r="D232" s="44" t="n">
        <x:f>IF(COUNT(B232:C232)=2,SUM(B232:C232),"")</x:f>
        <x:v>386876</x:v>
      </x:c>
      <x:c r="E232" s="44" t="n">
        <x:f>IF(COUNT('台北每日數據'!C232:D232)=2,'台北每日數據'!G232,"")</x:f>
        <x:v>1626</x:v>
      </x:c>
      <x:c r="F232" s="44" t="n">
        <x:f>IF(COUNT('新北每日數據'!C232:D232)=2,'新北每日數據'!G232,"")</x:f>
        <x:v>811</x:v>
      </x:c>
      <x:c r="G232" s="44" t="n">
        <x:f>IF(COUNT(E232:F232)=2,SUM(E232:F232),"")</x:f>
        <x:v>2437</x:v>
      </x:c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43" t="n">
        <x:f>'台北每日數據'!A233</x:f>
        <x:v>46065</x:v>
      </x:c>
      <x:c r="B233" s="44" t="n">
        <x:f>IF(COUNT('台北每日數據'!C233:D233)=2,'台北每日數據'!B233,"")</x:f>
        <x:v>264719</x:v>
      </x:c>
      <x:c r="C233" s="44" t="n">
        <x:f>IF(COUNT('新北每日數據'!C233:D233)=2,'新北每日數據'!B233,"")</x:f>
        <x:v>143042</x:v>
      </x:c>
      <x:c r="D233" s="44" t="n">
        <x:f>IF(COUNT(B233:C233)=2,SUM(B233:C233),"")</x:f>
        <x:v>407761</x:v>
      </x:c>
      <x:c r="E233" s="44" t="n">
        <x:f>IF(COUNT('台北每日數據'!C233:D233)=2,'台北每日數據'!G233,"")</x:f>
        <x:v>1870</x:v>
      </x:c>
      <x:c r="F233" s="44" t="n">
        <x:f>IF(COUNT('新北每日數據'!C233:D233)=2,'新北每日數據'!G233,"")</x:f>
        <x:v>938</x:v>
      </x:c>
      <x:c r="G233" s="44" t="n">
        <x:f>IF(COUNT(E233:F233)=2,SUM(E233:F233),"")</x:f>
        <x:v>2808</x:v>
      </x:c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43" t="n">
        <x:f>'台北每日數據'!A234</x:f>
        <x:v>46066</x:v>
      </x:c>
      <x:c r="B234" s="44" t="n">
        <x:f>IF(COUNT('台北每日數據'!C234:D234)=2,'台北每日數據'!B234,"")</x:f>
        <x:v>265569</x:v>
      </x:c>
      <x:c r="C234" s="44" t="n">
        <x:f>IF(COUNT('新北每日數據'!C234:D234)=2,'新北每日數據'!B234,"")</x:f>
        <x:v>147824</x:v>
      </x:c>
      <x:c r="D234" s="44" t="n">
        <x:f>IF(COUNT(B234:C234)=2,SUM(B234:C234),"")</x:f>
        <x:v>413393</x:v>
      </x:c>
      <x:c r="E234" s="44" t="n">
        <x:f>IF(COUNT('台北每日數據'!C234:D234)=2,'台北每日數據'!G234,"")</x:f>
        <x:v>1900</x:v>
      </x:c>
      <x:c r="F234" s="44" t="n">
        <x:f>IF(COUNT('新北每日數據'!C234:D234)=2,'新北每日數據'!G234,"")</x:f>
        <x:v>980</x:v>
      </x:c>
      <x:c r="G234" s="44" t="n">
        <x:f>IF(COUNT(E234:F234)=2,SUM(E234:F234),"")</x:f>
        <x:v>2880</x:v>
      </x:c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43" t="n">
        <x:f>'台北每日數據'!A235</x:f>
        <x:v>46067</x:v>
      </x:c>
      <x:c r="B235" s="44" t="n">
        <x:f>IF(COUNT('台北每日數據'!C235:D235)=2,'台北每日數據'!B235,"")</x:f>
        <x:v>198091</x:v>
      </x:c>
      <x:c r="C235" s="44" t="n">
        <x:f>IF(COUNT('新北每日數據'!C235:D235)=2,'新北每日數據'!B235,"")</x:f>
        <x:v>121122</x:v>
      </x:c>
      <x:c r="D235" s="44" t="n">
        <x:f>IF(COUNT(B235:C235)=2,SUM(B235:C235),"")</x:f>
        <x:v>319213</x:v>
      </x:c>
      <x:c r="E235" s="44" t="n">
        <x:f>IF(COUNT('台北每日數據'!C235:D235)=2,'台北每日數據'!G235,"")</x:f>
        <x:v>1593</x:v>
      </x:c>
      <x:c r="F235" s="44" t="n">
        <x:f>IF(COUNT('新北每日數據'!C235:D235)=2,'新北每日數據'!G235,"")</x:f>
        <x:v>926</x:v>
      </x:c>
      <x:c r="G235" s="44" t="n">
        <x:f>IF(COUNT(E235:F235)=2,SUM(E235:F235),"")</x:f>
        <x:v>2519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43" t="n">
        <x:f>'台北每日數據'!A236</x:f>
        <x:v>46068</x:v>
      </x:c>
      <x:c r="B236" s="44" t="n">
        <x:f>IF(COUNT('台北每日數據'!C236:D236)=2,'台北每日數據'!B236,"")</x:f>
        <x:v>171871</x:v>
      </x:c>
      <x:c r="C236" s="44" t="n">
        <x:f>IF(COUNT('新北每日數據'!C236:D236)=2,'新北每日數據'!B236,"")</x:f>
        <x:v>107855</x:v>
      </x:c>
      <x:c r="D236" s="44" t="n">
        <x:f>IF(COUNT(B236:C236)=2,SUM(B236:C236),"")</x:f>
        <x:v>279726</x:v>
      </x:c>
      <x:c r="E236" s="44" t="n">
        <x:f>IF(COUNT('台北每日數據'!C236:D236)=2,'台北每日數據'!G236,"")</x:f>
        <x:v>1449</x:v>
      </x:c>
      <x:c r="F236" s="44" t="n">
        <x:f>IF(COUNT('新北每日數據'!C236:D236)=2,'新北每日數據'!G236,"")</x:f>
        <x:v>921</x:v>
      </x:c>
      <x:c r="G236" s="44" t="n">
        <x:f>IF(COUNT(E236:F236)=2,SUM(E236:F236),"")</x:f>
        <x:v>2370</x:v>
      </x:c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43" t="n">
        <x:f>'台北每日數據'!A237</x:f>
        <x:v>46069</x:v>
      </x:c>
      <x:c r="B237" s="44" t="n">
        <x:f>IF(COUNT('台北每日數據'!C237:D237)=2,'台北每日數據'!B237,"")</x:f>
        <x:v>112640</x:v>
      </x:c>
      <x:c r="C237" s="44" t="n">
        <x:f>IF(COUNT('新北每日數據'!C237:D237)=2,'新北每日數據'!B237,"")</x:f>
        <x:v>74311</x:v>
      </x:c>
      <x:c r="D237" s="44" t="n">
        <x:f>IF(COUNT(B237:C237)=2,SUM(B237:C237),"")</x:f>
        <x:v>186951</x:v>
      </x:c>
      <x:c r="E237" s="44" t="n">
        <x:f>IF(COUNT('台北每日數據'!C237:D237)=2,'台北每日數據'!G237,"")</x:f>
        <x:v>1102</x:v>
      </x:c>
      <x:c r="F237" s="44" t="n">
        <x:f>IF(COUNT('新北每日數據'!C237:D237)=2,'新北每日數據'!G237,"")</x:f>
        <x:v>697</x:v>
      </x:c>
      <x:c r="G237" s="44" t="n">
        <x:f>IF(COUNT(E237:F237)=2,SUM(E237:F237),"")</x:f>
        <x:v>1799</x:v>
      </x:c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43" t="n">
        <x:f>'台北每日數據'!A238</x:f>
        <x:v>46070</x:v>
      </x:c>
      <x:c r="B238" s="44" t="n">
        <x:f>IF(COUNT('台北每日數據'!C238:D238)=2,'台北每日數據'!B238,"")</x:f>
        <x:v>99592</x:v>
      </x:c>
      <x:c r="C238" s="44" t="n">
        <x:f>IF(COUNT('新北每日數據'!C238:D238)=2,'新北每日數據'!B238,"")</x:f>
        <x:v>65976</x:v>
      </x:c>
      <x:c r="D238" s="44" t="n">
        <x:f>IF(COUNT(B238:C238)=2,SUM(B238:C238),"")</x:f>
        <x:v>165568</x:v>
      </x:c>
      <x:c r="E238" s="44" t="n">
        <x:f>IF(COUNT('台北每日數據'!C238:D238)=2,'台北每日數據'!G238,"")</x:f>
        <x:v>957</x:v>
      </x:c>
      <x:c r="F238" s="44" t="n">
        <x:f>IF(COUNT('新北每日數據'!C238:D238)=2,'新北每日數據'!G238,"")</x:f>
        <x:v>609</x:v>
      </x:c>
      <x:c r="G238" s="44" t="n">
        <x:f>IF(COUNT(E238:F238)=2,SUM(E238:F238),"")</x:f>
        <x:v>1566</x:v>
      </x:c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43" t="n">
        <x:f>'台北每日數據'!A239</x:f>
        <x:v>46071</x:v>
      </x:c>
      <x:c r="B239" s="44" t="n">
        <x:f>IF(COUNT('台北每日數據'!C239:D239)=2,'台北每日數據'!B239,"")</x:f>
        <x:v>107377</x:v>
      </x:c>
      <x:c r="C239" s="44" t="n">
        <x:f>IF(COUNT('新北每日數據'!C239:D239)=2,'新北每日數據'!B239,"")</x:f>
        <x:v>73869</x:v>
      </x:c>
      <x:c r="D239" s="44" t="n">
        <x:f>IF(COUNT(B239:C239)=2,SUM(B239:C239),"")</x:f>
        <x:v>181246</x:v>
      </x:c>
      <x:c r="E239" s="44" t="n">
        <x:f>IF(COUNT('台北每日數據'!C239:D239)=2,'台北每日數據'!G239,"")</x:f>
        <x:v>976</x:v>
      </x:c>
      <x:c r="F239" s="44" t="n">
        <x:f>IF(COUNT('新北每日數據'!C239:D239)=2,'新北每日數據'!G239,"")</x:f>
        <x:v>695</x:v>
      </x:c>
      <x:c r="G239" s="44" t="n">
        <x:f>IF(COUNT(E239:F239)=2,SUM(E239:F239),"")</x:f>
        <x:v>1671</x:v>
      </x:c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43" t="n">
        <x:f>'台北每日數據'!A240</x:f>
        <x:v>46072</x:v>
      </x:c>
      <x:c r="B240" s="44" t="n">
        <x:f>IF(COUNT('台北每日數據'!C240:D240)=2,'台北每日數據'!B240,"")</x:f>
        <x:v>139543</x:v>
      </x:c>
      <x:c r="C240" s="44" t="n">
        <x:f>IF(COUNT('新北每日數據'!C240:D240)=2,'新北每日數據'!B240,"")</x:f>
        <x:v>91779</x:v>
      </x:c>
      <x:c r="D240" s="44" t="n">
        <x:f>IF(COUNT(B240:C240)=2,SUM(B240:C240),"")</x:f>
        <x:v>231322</x:v>
      </x:c>
      <x:c r="E240" s="44" t="n">
        <x:f>IF(COUNT('台北每日數據'!C240:D240)=2,'台北每日數據'!G240,"")</x:f>
        <x:v>1365</x:v>
      </x:c>
      <x:c r="F240" s="44" t="n">
        <x:f>IF(COUNT('新北每日數據'!C240:D240)=2,'新北每日數據'!G240,"")</x:f>
        <x:v>875</x:v>
      </x:c>
      <x:c r="G240" s="44" t="n">
        <x:f>IF(COUNT(E240:F240)=2,SUM(E240:F240),"")</x:f>
        <x:v>2240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43" t="n">
        <x:f>'台北每日數據'!A241</x:f>
        <x:v>46073</x:v>
      </x:c>
      <x:c r="B241" s="44" t="n">
        <x:f>IF(COUNT('台北每日數據'!C241:D241)=2,'台北每日數據'!B241,"")</x:f>
        <x:v>154930</x:v>
      </x:c>
      <x:c r="C241" s="44" t="n">
        <x:f>IF(COUNT('新北每日數據'!C241:D241)=2,'新北每日數據'!B241,"")</x:f>
        <x:v>98140</x:v>
      </x:c>
      <x:c r="D241" s="44" t="n">
        <x:f>IF(COUNT(B241:C241)=2,SUM(B241:C241),"")</x:f>
        <x:v>253070</x:v>
      </x:c>
      <x:c r="E241" s="44" t="n">
        <x:f>IF(COUNT('台北每日數據'!C241:D241)=2,'台北每日數據'!G241,"")</x:f>
        <x:v>1332</x:v>
      </x:c>
      <x:c r="F241" s="44" t="n">
        <x:f>IF(COUNT('新北每日數據'!C241:D241)=2,'新北每日數據'!G241,"")</x:f>
        <x:v>790</x:v>
      </x:c>
      <x:c r="G241" s="44" t="n">
        <x:f>IF(COUNT(E241:F241)=2,SUM(E241:F241),"")</x:f>
        <x:v>2122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43" t="n">
        <x:f>'台北每日數據'!A242</x:f>
        <x:v>46074</x:v>
      </x:c>
      <x:c r="B242" s="44" t="n">
        <x:f>IF(COUNT('台北每日數據'!C242:D242)=2,'台北每日數據'!B242,"")</x:f>
        <x:v>199787</x:v>
      </x:c>
      <x:c r="C242" s="44" t="n">
        <x:f>IF(COUNT('新北每日數據'!C242:D242)=2,'新北每日數據'!B242,"")</x:f>
        <x:v>125340</x:v>
      </x:c>
      <x:c r="D242" s="44" t="n">
        <x:f>IF(COUNT(B242:C242)=2,SUM(B242:C242),"")</x:f>
        <x:v>325127</x:v>
      </x:c>
      <x:c r="E242" s="44" t="n">
        <x:f>IF(COUNT('台北每日數據'!C242:D242)=2,'台北每日數據'!G242,"")</x:f>
        <x:v>1587</x:v>
      </x:c>
      <x:c r="F242" s="44" t="n">
        <x:f>IF(COUNT('新北每日數據'!C242:D242)=2,'新北每日數據'!G242,"")</x:f>
        <x:v>1104</x:v>
      </x:c>
      <x:c r="G242" s="44" t="n">
        <x:f>IF(COUNT(E242:F242)=2,SUM(E242:F242),"")</x:f>
        <x:v>2691</x:v>
      </x:c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43" t="n">
        <x:f>'台北每日數據'!A243</x:f>
        <x:v>46075</x:v>
      </x:c>
      <x:c r="B243" s="44" t="n">
        <x:f>IF(COUNT('台北每日數據'!C243:D243)=2,'台北每日數據'!B243,"")</x:f>
        <x:v>210149</x:v>
      </x:c>
      <x:c r="C243" s="44" t="n">
        <x:f>IF(COUNT('新北每日數據'!C243:D243)=2,'新北每日數據'!B243,"")</x:f>
        <x:v>127047</x:v>
      </x:c>
      <x:c r="D243" s="44" t="n">
        <x:f>IF(COUNT(B243:C243)=2,SUM(B243:C243),"")</x:f>
        <x:v>337196</x:v>
      </x:c>
      <x:c r="E243" s="44" t="n">
        <x:f>IF(COUNT('台北每日數據'!C243:D243)=2,'台北每日數據'!G243,"")</x:f>
        <x:v>1699</x:v>
      </x:c>
      <x:c r="F243" s="44" t="n">
        <x:f>IF(COUNT('新北每日數據'!C243:D243)=2,'新北每日數據'!G243,"")</x:f>
        <x:v>1086</x:v>
      </x:c>
      <x:c r="G243" s="44" t="n">
        <x:f>IF(COUNT(E243:F243)=2,SUM(E243:F243),"")</x:f>
        <x:v>2785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43" t="n">
        <x:f>'台北每日數據'!A244</x:f>
        <x:v>46076</x:v>
      </x:c>
      <x:c r="B244" s="44" t="n">
        <x:f>IF(COUNT('台北每日數據'!C244:D244)=2,'台北每日數據'!B244,"")</x:f>
        <x:v>279711</x:v>
      </x:c>
      <x:c r="C244" s="44" t="n">
        <x:f>IF(COUNT('新北每日數據'!C244:D244)=2,'新北每日數據'!B244,"")</x:f>
        <x:v>137894</x:v>
      </x:c>
      <x:c r="D244" s="44" t="n">
        <x:f>IF(COUNT(B244:C244)=2,SUM(B244:C244),"")</x:f>
        <x:v>417605</x:v>
      </x:c>
      <x:c r="E244" s="44" t="n">
        <x:f>IF(COUNT('台北每日數據'!C244:D244)=2,'台北每日數據'!G244,"")</x:f>
        <x:v>1937</x:v>
      </x:c>
      <x:c r="F244" s="44" t="n">
        <x:f>IF(COUNT('新北每日數據'!C244:D244)=2,'新北每日數據'!G244,"")</x:f>
        <x:v>1107</x:v>
      </x:c>
      <x:c r="G244" s="44" t="n">
        <x:f>IF(COUNT(E244:F244)=2,SUM(E244:F244),"")</x:f>
        <x:v>3044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43" t="n">
        <x:f>'台北每日數據'!A245</x:f>
        <x:v>46077</x:v>
      </x:c>
      <x:c r="B245" s="44" t="n">
        <x:f>IF(COUNT('台北每日數據'!C245:D245)=2,'台北每日數據'!B245,"")</x:f>
        <x:v>280542</x:v>
      </x:c>
      <x:c r="C245" s="44" t="n">
        <x:f>IF(COUNT('新北每日數據'!C245:D245)=2,'新北每日數據'!B245,"")</x:f>
        <x:v>135448</x:v>
      </x:c>
      <x:c r="D245" s="44" t="n">
        <x:f>IF(COUNT(B245:C245)=2,SUM(B245:C245),"")</x:f>
        <x:v>415990</x:v>
      </x:c>
      <x:c r="E245" s="44" t="n">
        <x:f>IF(COUNT('台北每日數據'!C245:D245)=2,'台北每日數據'!G245,"")</x:f>
        <x:v>2079</x:v>
      </x:c>
      <x:c r="F245" s="44" t="n">
        <x:f>IF(COUNT('新北每日數據'!C245:D245)=2,'新北每日數據'!G245,"")</x:f>
        <x:v>1214</x:v>
      </x:c>
      <x:c r="G245" s="44" t="n">
        <x:f>IF(COUNT(E245:F245)=2,SUM(E245:F245),"")</x:f>
        <x:v>3293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43" t="n">
        <x:f>'台北每日數據'!A246</x:f>
        <x:v>46078</x:v>
      </x:c>
      <x:c r="B246" s="44" t="n">
        <x:f>IF(COUNT('台北每日數據'!C246:D246)=2,'台北每日數據'!B246,"")</x:f>
        <x:v>232553</x:v>
      </x:c>
      <x:c r="C246" s="44" t="n">
        <x:f>IF(COUNT('新北每日數據'!C246:D246)=2,'新北每日數據'!B246,"")</x:f>
        <x:v>113796</x:v>
      </x:c>
      <x:c r="D246" s="44" t="n">
        <x:f>IF(COUNT(B246:C246)=2,SUM(B246:C246),"")</x:f>
        <x:v>346349</x:v>
      </x:c>
      <x:c r="E246" s="44" t="n">
        <x:f>IF(COUNT('台北每日數據'!C246:D246)=2,'台北每日數據'!G246,"")</x:f>
        <x:v>1731</x:v>
      </x:c>
      <x:c r="F246" s="44" t="n">
        <x:f>IF(COUNT('新北每日數據'!C246:D246)=2,'新北每日數據'!G246,"")</x:f>
        <x:v>920</x:v>
      </x:c>
      <x:c r="G246" s="44" t="n">
        <x:f>IF(COUNT(E246:F246)=2,SUM(E246:F246),"")</x:f>
        <x:v>2651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43" t="n">
        <x:f>'台北每日數據'!A247</x:f>
        <x:v>46079</x:v>
      </x:c>
      <x:c r="B247" s="44" t="n">
        <x:f>IF(COUNT('台北每日數據'!C247:D247)=2,'台北每日數據'!B247,"")</x:f>
        <x:v>290951</x:v>
      </x:c>
      <x:c r="C247" s="44" t="n">
        <x:f>IF(COUNT('新北每日數據'!C247:D247)=2,'新北每日數據'!B247,"")</x:f>
        <x:v>147789</x:v>
      </x:c>
      <x:c r="D247" s="44" t="n">
        <x:f>IF(COUNT(B247:C247)=2,SUM(B247:C247),"")</x:f>
        <x:v>438740</x:v>
      </x:c>
      <x:c r="E247" s="44" t="n">
        <x:f>IF(COUNT('台北每日數據'!C247:D247)=2,'台北每日數據'!G247,"")</x:f>
        <x:v>2578</x:v>
      </x:c>
      <x:c r="F247" s="44" t="n">
        <x:f>IF(COUNT('新北每日數據'!C247:D247)=2,'新北每日數據'!G247,"")</x:f>
        <x:v>1417</x:v>
      </x:c>
      <x:c r="G247" s="44" t="n">
        <x:f>IF(COUNT(E247:F247)=2,SUM(E247:F247),"")</x:f>
        <x:v>3995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43" t="n">
        <x:f>'台北每日數據'!A248</x:f>
        <x:v>46080</x:v>
      </x:c>
      <x:c r="B248" s="44" t="n">
        <x:f>IF(COUNT('台北每日數據'!C248:D248)=2,'台北每日數據'!B248,"")</x:f>
        <x:v>188039</x:v>
      </x:c>
      <x:c r="C248" s="44" t="n">
        <x:f>IF(COUNT('新北每日數據'!C248:D248)=2,'新北每日數據'!B248,"")</x:f>
        <x:v>112221</x:v>
      </x:c>
      <x:c r="D248" s="44" t="n">
        <x:f>IF(COUNT(B248:C248)=2,SUM(B248:C248),"")</x:f>
        <x:v>300260</x:v>
      </x:c>
      <x:c r="E248" s="44" t="n">
        <x:f>IF(COUNT('台北每日數據'!C248:D248)=2,'台北每日數據'!G248,"")</x:f>
        <x:v>1973</x:v>
      </x:c>
      <x:c r="F248" s="44" t="n">
        <x:f>IF(COUNT('新北每日數據'!C248:D248)=2,'新北每日數據'!G248,"")</x:f>
        <x:v>1095</x:v>
      </x:c>
      <x:c r="G248" s="44" t="n">
        <x:f>IF(COUNT(E248:F248)=2,SUM(E248:F248),"")</x:f>
        <x:v>3068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43" t="n">
        <x:f>'台北每日數據'!A249</x:f>
        <x:v>46081</x:v>
      </x:c>
      <x:c r="B249" s="44" t="n">
        <x:f>IF(COUNT('台北每日數據'!C249:D249)=2,'台北每日數據'!B249,"")</x:f>
        <x:v>199615</x:v>
      </x:c>
      <x:c r="C249" s="44" t="n">
        <x:f>IF(COUNT('新北每日數據'!C249:D249)=2,'新北每日數據'!B249,"")</x:f>
        <x:v>120505</x:v>
      </x:c>
      <x:c r="D249" s="44" t="n">
        <x:f>IF(COUNT(B249:C249)=2,SUM(B249:C249),"")</x:f>
        <x:v>320120</x:v>
      </x:c>
      <x:c r="E249" s="44" t="n">
        <x:f>IF(COUNT('台北每日數據'!C249:D249)=2,'台北每日數據'!G249,"")</x:f>
        <x:v>2740</x:v>
      </x:c>
      <x:c r="F249" s="44" t="n">
        <x:f>IF(COUNT('新北每日數據'!C249:D249)=2,'新北每日數據'!G249,"")</x:f>
        <x:v>1439</x:v>
      </x:c>
      <x:c r="G249" s="44" t="n">
        <x:f>IF(COUNT(E249:F249)=2,SUM(E249:F249),"")</x:f>
        <x:v>4179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43" t="n">
        <x:f>'台北每日數據'!A250</x:f>
        <x:v>46082</x:v>
      </x:c>
      <x:c r="B250" s="44" t="n">
        <x:f>IF(COUNT('台北每日數據'!C250:D250)=2,'台北每日數據'!B250,"")</x:f>
        <x:v>201335</x:v>
      </x:c>
      <x:c r="C250" s="44" t="n">
        <x:f>IF(COUNT('新北每日數據'!C250:D250)=2,'新北每日數據'!B250,"")</x:f>
        <x:v>117891</x:v>
      </x:c>
      <x:c r="D250" s="44" t="n">
        <x:f>IF(COUNT(B250:C250)=2,SUM(B250:C250),"")</x:f>
        <x:v>319226</x:v>
      </x:c>
      <x:c r="E250" s="44" t="n">
        <x:f>IF(COUNT('台北每日數據'!C250:D250)=2,'台北每日數據'!G250,"")</x:f>
        <x:v>1348</x:v>
      </x:c>
      <x:c r="F250" s="44" t="n">
        <x:f>IF(COUNT('新北每日數據'!C250:D250)=2,'新北每日數據'!G250,"")</x:f>
        <x:v>826</x:v>
      </x:c>
      <x:c r="G250" s="44" t="n">
        <x:f>IF(COUNT(E250:F250)=2,SUM(E250:F250),"")</x:f>
        <x:v>2174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43" t="n">
        <x:f>'台北每日數據'!A251</x:f>
        <x:v>46083</x:v>
      </x:c>
      <x:c r="B251" s="44" t="n">
        <x:f>IF(COUNT('台北每日數據'!C251:D251)=2,'台北每日數據'!B251,"")</x:f>
        <x:v>273331</x:v>
      </x:c>
      <x:c r="C251" s="44" t="n">
        <x:f>IF(COUNT('新北每日數據'!C251:D251)=2,'新北每日數據'!B251,"")</x:f>
        <x:v>132528</x:v>
      </x:c>
      <x:c r="D251" s="44" t="n">
        <x:f>IF(COUNT(B251:C251)=2,SUM(B251:C251),"")</x:f>
        <x:v>405859</x:v>
      </x:c>
      <x:c r="E251" s="44" t="n">
        <x:f>IF(COUNT('台北每日數據'!C251:D251)=2,'台北每日數據'!G251,"")</x:f>
        <x:v>1579</x:v>
      </x:c>
      <x:c r="F251" s="44" t="n">
        <x:f>IF(COUNT('新北每日數據'!C251:D251)=2,'新北每日數據'!G251,"")</x:f>
        <x:v>995</x:v>
      </x:c>
      <x:c r="G251" s="44" t="n">
        <x:f>IF(COUNT(E251:F251)=2,SUM(E251:F251),"")</x:f>
        <x:v>2574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43" t="n">
        <x:f>'台北每日數據'!A252</x:f>
        <x:v>46084</x:v>
      </x:c>
      <x:c r="B252" s="44" t="n">
        <x:f>IF(COUNT('台北每日數據'!C252:D252)=2,'台北每日數據'!B252,"")</x:f>
        <x:v>165818</x:v>
      </x:c>
      <x:c r="C252" s="44" t="n">
        <x:f>IF(COUNT('新北每日數據'!C252:D252)=2,'新北每日數據'!B252,"")</x:f>
        <x:v>99678</x:v>
      </x:c>
      <x:c r="D252" s="44" t="n">
        <x:f>IF(COUNT(B252:C252)=2,SUM(B252:C252),"")</x:f>
        <x:v>265496</x:v>
      </x:c>
      <x:c r="E252" s="44" t="n">
        <x:f>IF(COUNT('台北每日數據'!C252:D252)=2,'台北每日數據'!G252,"")</x:f>
        <x:v>898</x:v>
      </x:c>
      <x:c r="F252" s="44" t="n">
        <x:f>IF(COUNT('新北每日數據'!C252:D252)=2,'新北每日數據'!G252,"")</x:f>
        <x:v>551</x:v>
      </x:c>
      <x:c r="G252" s="44" t="n">
        <x:f>IF(COUNT(E252:F252)=2,SUM(E252:F252),"")</x:f>
        <x:v>1449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43" t="n">
        <x:f>'台北每日數據'!A253</x:f>
        <x:v>46085</x:v>
      </x:c>
      <x:c r="B253" s="44" t="n">
        <x:f>IF(COUNT('台北每日數據'!C253:D253)=2,'台北每日數據'!B253,"")</x:f>
        <x:v>144147</x:v>
      </x:c>
      <x:c r="C253" s="44" t="n">
        <x:f>IF(COUNT('新北每日數據'!C253:D253)=2,'新北每日數據'!B253,"")</x:f>
        <x:v>90802</x:v>
      </x:c>
      <x:c r="D253" s="44" t="n">
        <x:f>IF(COUNT(B253:C253)=2,SUM(B253:C253),"")</x:f>
        <x:v>234949</x:v>
      </x:c>
      <x:c r="E253" s="44" t="n">
        <x:f>IF(COUNT('台北每日數據'!C253:D253)=2,'台北每日數據'!G253,"")</x:f>
        <x:v>766</x:v>
      </x:c>
      <x:c r="F253" s="44" t="n">
        <x:f>IF(COUNT('新北每日數據'!C253:D253)=2,'新北每日數據'!G253,"")</x:f>
        <x:v>544</x:v>
      </x:c>
      <x:c r="G253" s="44" t="n">
        <x:f>IF(COUNT(E253:F253)=2,SUM(E253:F253),"")</x:f>
        <x:v>1310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43" t="n">
        <x:f>'台北每日數據'!A254</x:f>
        <x:v>46086</x:v>
      </x:c>
      <x:c r="B254" s="44" t="n">
        <x:f>IF(COUNT('台北每日數據'!C254:D254)=2,'台北每日數據'!B254,"")</x:f>
        <x:v>211824</x:v>
      </x:c>
      <x:c r="C254" s="44" t="n">
        <x:f>IF(COUNT('新北每日數據'!C254:D254)=2,'新北每日數據'!B254,"")</x:f>
        <x:v>112985</x:v>
      </x:c>
      <x:c r="D254" s="44" t="n">
        <x:f>IF(COUNT(B254:C254)=2,SUM(B254:C254),"")</x:f>
        <x:v>324809</x:v>
      </x:c>
      <x:c r="E254" s="44" t="n">
        <x:f>IF(COUNT('台北每日數據'!C254:D254)=2,'台北每日數據'!G254,"")</x:f>
        <x:v>1339</x:v>
      </x:c>
      <x:c r="F254" s="44" t="n">
        <x:f>IF(COUNT('新北每日數據'!C254:D254)=2,'新北每日數據'!G254,"")</x:f>
        <x:v>740</x:v>
      </x:c>
      <x:c r="G254" s="44" t="n">
        <x:f>IF(COUNT(E254:F254)=2,SUM(E254:F254),"")</x:f>
        <x:v>2079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43" t="n">
        <x:f>'台北每日數據'!A255</x:f>
        <x:v>46087</x:v>
      </x:c>
      <x:c r="B255" s="44" t="n">
        <x:f>IF(COUNT('台北每日數據'!C255:D255)=2,'台北每日數據'!B255,"")</x:f>
        <x:v>264208</x:v>
      </x:c>
      <x:c r="C255" s="44" t="n">
        <x:f>IF(COUNT('新北每日數據'!C255:D255)=2,'新北每日數據'!B255,"")</x:f>
        <x:v>129410</x:v>
      </x:c>
      <x:c r="D255" s="44" t="n">
        <x:f>IF(COUNT(B255:C255)=2,SUM(B255:C255),"")</x:f>
        <x:v>393618</x:v>
      </x:c>
      <x:c r="E255" s="44" t="n">
        <x:f>IF(COUNT('台北每日數據'!C255:D255)=2,'台北每日數據'!G255,"")</x:f>
        <x:v>1657</x:v>
      </x:c>
      <x:c r="F255" s="44" t="n">
        <x:f>IF(COUNT('新北每日數據'!C255:D255)=2,'新北每日數據'!G255,"")</x:f>
        <x:v>765</x:v>
      </x:c>
      <x:c r="G255" s="44" t="n">
        <x:f>IF(COUNT(E255:F255)=2,SUM(E255:F255),"")</x:f>
        <x:v>2422</x:v>
      </x:c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43" t="n">
        <x:f>'台北每日數據'!A256</x:f>
        <x:v>46088</x:v>
      </x:c>
      <x:c r="B256" s="44" t="n">
        <x:f>IF(COUNT('台北每日數據'!C256:D256)=2,'台北每日數據'!B256,"")</x:f>
        <x:v>227524</x:v>
      </x:c>
      <x:c r="C256" s="44" t="n">
        <x:f>IF(COUNT('新北每日數據'!C256:D256)=2,'新北每日數據'!B256,"")</x:f>
        <x:v>132601</x:v>
      </x:c>
      <x:c r="D256" s="44" t="n">
        <x:f>IF(COUNT(B256:C256)=2,SUM(B256:C256),"")</x:f>
        <x:v>360125</x:v>
      </x:c>
      <x:c r="E256" s="44" t="n">
        <x:f>IF(COUNT('台北每日數據'!C256:D256)=2,'台北每日數據'!G256,"")</x:f>
        <x:v>1554</x:v>
      </x:c>
      <x:c r="F256" s="44" t="n">
        <x:f>IF(COUNT('新北每日數據'!C256:D256)=2,'新北每日數據'!G256,"")</x:f>
        <x:v>939</x:v>
      </x:c>
      <x:c r="G256" s="44" t="n">
        <x:f>IF(COUNT(E256:F256)=2,SUM(E256:F256),"")</x:f>
        <x:v>2493</x:v>
      </x:c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43" t="n">
        <x:f>'台北每日數據'!A257</x:f>
        <x:v>46089</x:v>
      </x:c>
      <x:c r="B257" s="44" t="n">
        <x:f>IF(COUNT('台北每日數據'!C257:D257)=2,'台北每日數據'!B257,"")</x:f>
        <x:v>193830</x:v>
      </x:c>
      <x:c r="C257" s="44" t="n">
        <x:f>IF(COUNT('新北每日數據'!C257:D257)=2,'新北每日數據'!B257,"")</x:f>
        <x:v>118975</x:v>
      </x:c>
      <x:c r="D257" s="44" t="n">
        <x:f>IF(COUNT(B257:C257)=2,SUM(B257:C257),"")</x:f>
        <x:v>312805</x:v>
      </x:c>
      <x:c r="E257" s="44" t="n">
        <x:f>IF(COUNT('台北每日數據'!C257:D257)=2,'台北每日數據'!G257,"")</x:f>
        <x:v>1548</x:v>
      </x:c>
      <x:c r="F257" s="44" t="n">
        <x:f>IF(COUNT('新北每日數據'!C257:D257)=2,'新北每日數據'!G257,"")</x:f>
        <x:v>945</x:v>
      </x:c>
      <x:c r="G257" s="44" t="n">
        <x:f>IF(COUNT(E257:F257)=2,SUM(E257:F257),"")</x:f>
        <x:v>2493</x:v>
      </x:c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43" t="n">
        <x:f>'台北每日數據'!A258</x:f>
        <x:v>46090</x:v>
      </x:c>
      <x:c r="B258" s="44" t="n">
        <x:f>IF(COUNT('台北每日數據'!C258:D258)=2,'台北每日數據'!B258,"")</x:f>
        <x:v>223842</x:v>
      </x:c>
      <x:c r="C258" s="44" t="n">
        <x:f>IF(COUNT('新北每日數據'!C258:D258)=2,'新北每日數據'!B258,"")</x:f>
        <x:v>110675</x:v>
      </x:c>
      <x:c r="D258" s="44" t="n">
        <x:f>IF(COUNT(B258:C258)=2,SUM(B258:C258),"")</x:f>
        <x:v>334517</x:v>
      </x:c>
      <x:c r="E258" s="44" t="n">
        <x:f>IF(COUNT('台北每日數據'!C258:D258)=2,'台北每日數據'!G258,"")</x:f>
        <x:v>1199</x:v>
      </x:c>
      <x:c r="F258" s="44" t="n">
        <x:f>IF(COUNT('新北每日數據'!C258:D258)=2,'新北每日數據'!G258,"")</x:f>
        <x:v>682</x:v>
      </x:c>
      <x:c r="G258" s="44" t="n">
        <x:f>IF(COUNT(E258:F258)=2,SUM(E258:F258),"")</x:f>
        <x:v>1881</x:v>
      </x:c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43" t="n">
        <x:f>'台北每日數據'!A259</x:f>
        <x:v>46091</x:v>
      </x:c>
      <x:c r="B259" s="44" t="n">
        <x:f>IF(COUNT('台北每日數據'!C259:D259)=2,'台北每日數據'!B259,"")</x:f>
        <x:v>154511</x:v>
      </x:c>
      <x:c r="C259" s="44" t="n">
        <x:f>IF(COUNT('新北每日數據'!C259:D259)=2,'新北每日數據'!B259,"")</x:f>
        <x:v>80749</x:v>
      </x:c>
      <x:c r="D259" s="44" t="n">
        <x:f>IF(COUNT(B259:C259)=2,SUM(B259:C259),"")</x:f>
        <x:v>235260</x:v>
      </x:c>
      <x:c r="E259" s="44" t="n">
        <x:f>IF(COUNT('台北每日數據'!C259:D259)=2,'台北每日數據'!G259,"")</x:f>
        <x:v>809</x:v>
      </x:c>
      <x:c r="F259" s="44" t="n">
        <x:f>IF(COUNT('新北每日數據'!C259:D259)=2,'新北每日數據'!G259,"")</x:f>
        <x:v>451</x:v>
      </x:c>
      <x:c r="G259" s="44" t="n">
        <x:f>IF(COUNT(E259:F259)=2,SUM(E259:F259),"")</x:f>
        <x:v>1260</x:v>
      </x:c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43" t="n">
        <x:f>'台北每日數據'!A260</x:f>
        <x:v>46092</x:v>
      </x:c>
      <x:c r="B260" s="44" t="n">
        <x:f>IF(COUNT('台北每日數據'!C260:D260)=2,'台北每日數據'!B260,"")</x:f>
        <x:v>287472</x:v>
      </x:c>
      <x:c r="C260" s="44" t="n">
        <x:f>IF(COUNT('新北每日數據'!C260:D260)=2,'新北每日數據'!B260,"")</x:f>
        <x:v>145273</x:v>
      </x:c>
      <x:c r="D260" s="44" t="n">
        <x:f>IF(COUNT(B260:C260)=2,SUM(B260:C260),"")</x:f>
        <x:v>432745</x:v>
      </x:c>
      <x:c r="E260" s="44" t="n">
        <x:f>IF(COUNT('台北每日數據'!C260:D260)=2,'台北每日數據'!G260,"")</x:f>
        <x:v>1998</x:v>
      </x:c>
      <x:c r="F260" s="44" t="n">
        <x:f>IF(COUNT('新北每日數據'!C260:D260)=2,'新北每日數據'!G260,"")</x:f>
        <x:v>1150</x:v>
      </x:c>
      <x:c r="G260" s="44" t="n">
        <x:f>IF(COUNT(E260:F260)=2,SUM(E260:F260),"")</x:f>
        <x:v>3148</x:v>
      </x:c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43" t="n">
        <x:f>'台北每日數據'!A261</x:f>
        <x:v>46093</x:v>
      </x:c>
      <x:c r="B261" s="44" t="n">
        <x:f>IF(COUNT('台北每日數據'!C261:D261)=2,'台北每日數據'!B261,"")</x:f>
        <x:v>280446</x:v>
      </x:c>
      <x:c r="C261" s="44" t="n">
        <x:f>IF(COUNT('新北每日數據'!C261:D261)=2,'新北每日數據'!B261,"")</x:f>
        <x:v>141427</x:v>
      </x:c>
      <x:c r="D261" s="44" t="n">
        <x:f>IF(COUNT(B261:C261)=2,SUM(B261:C261),"")</x:f>
        <x:v>421873</x:v>
      </x:c>
      <x:c r="E261" s="44" t="n">
        <x:f>IF(COUNT('台北每日數據'!C261:D261)=2,'台北每日數據'!G261,"")</x:f>
        <x:v>1943</x:v>
      </x:c>
      <x:c r="F261" s="44" t="n">
        <x:f>IF(COUNT('新北每日數據'!C261:D261)=2,'新北每日數據'!G261,"")</x:f>
        <x:v>951</x:v>
      </x:c>
      <x:c r="G261" s="44" t="n">
        <x:f>IF(COUNT(E261:F261)=2,SUM(E261:F261),"")</x:f>
        <x:v>2894</x:v>
      </x:c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43" t="n">
        <x:f>'台北每日數據'!A262</x:f>
        <x:v>46094</x:v>
      </x:c>
      <x:c r="B262" s="44" t="n">
        <x:f>IF(COUNT('台北每日數據'!C262:D262)=2,'台北每日數據'!B262,"")</x:f>
        <x:v>287144</x:v>
      </x:c>
      <x:c r="C262" s="44" t="n">
        <x:f>IF(COUNT('新北每日數據'!C262:D262)=2,'新北每日數據'!B262,"")</x:f>
        <x:v>148029</x:v>
      </x:c>
      <x:c r="D262" s="44" t="n">
        <x:f>IF(COUNT(B262:C262)=2,SUM(B262:C262),"")</x:f>
        <x:v>435173</x:v>
      </x:c>
      <x:c r="E262" s="44" t="n">
        <x:f>IF(COUNT('台北每日數據'!C262:D262)=2,'台北每日數據'!G262,"")</x:f>
        <x:v>1945</x:v>
      </x:c>
      <x:c r="F262" s="44" t="n">
        <x:f>IF(COUNT('新北每日數據'!C262:D262)=2,'新北每日數據'!G262,"")</x:f>
        <x:v>882</x:v>
      </x:c>
      <x:c r="G262" s="44" t="n">
        <x:f>IF(COUNT(E262:F262)=2,SUM(E262:F262),"")</x:f>
        <x:v>2827</x:v>
      </x:c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43" t="n">
        <x:f>'台北每日數據'!A263</x:f>
        <x:v>46095</x:v>
      </x:c>
      <x:c r="B263" s="44" t="n">
        <x:f>IF(COUNT('台北每日數據'!C263:D263)=2,'台北每日數據'!B263,"")</x:f>
        <x:v>256331</x:v>
      </x:c>
      <x:c r="C263" s="44" t="n">
        <x:f>IF(COUNT('新北每日數據'!C263:D263)=2,'新北每日數據'!B263,"")</x:f>
        <x:v>148729</x:v>
      </x:c>
      <x:c r="D263" s="44" t="n">
        <x:f>IF(COUNT(B263:C263)=2,SUM(B263:C263),"")</x:f>
        <x:v>405060</x:v>
      </x:c>
      <x:c r="E263" s="44" t="n">
        <x:f>IF(COUNT('台北每日數據'!C263:D263)=2,'台北每日數據'!G263,"")</x:f>
        <x:v>1861</x:v>
      </x:c>
      <x:c r="F263" s="44" t="n">
        <x:f>IF(COUNT('新北每日數據'!C263:D263)=2,'新北每日數據'!G263,"")</x:f>
        <x:v>990</x:v>
      </x:c>
      <x:c r="G263" s="44" t="n">
        <x:f>IF(COUNT(E263:F263)=2,SUM(E263:F263),"")</x:f>
        <x:v>2851</x:v>
      </x:c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43" t="n">
        <x:f>'台北每日數據'!A264</x:f>
        <x:v>46096</x:v>
      </x:c>
      <x:c r="B264" s="44" t="n">
        <x:f>IF(COUNT('台北每日數據'!C264:D264)=2,'台北每日數據'!B264,"")</x:f>
        <x:v>244564</x:v>
      </x:c>
      <x:c r="C264" s="44" t="n">
        <x:f>IF(COUNT('新北每日數據'!C264:D264)=2,'新北每日數據'!B264,"")</x:f>
        <x:v>142610</x:v>
      </x:c>
      <x:c r="D264" s="44" t="n">
        <x:f>IF(COUNT(B264:C264)=2,SUM(B264:C264),"")</x:f>
        <x:v>387174</x:v>
      </x:c>
      <x:c r="E264" s="44" t="n">
        <x:f>IF(COUNT('台北每日數據'!C264:D264)=2,'台北每日數據'!G264,"")</x:f>
        <x:v>1806</x:v>
      </x:c>
      <x:c r="F264" s="44" t="n">
        <x:f>IF(COUNT('新北每日數據'!C264:D264)=2,'新北每日數據'!G264,"")</x:f>
        <x:v>989</x:v>
      </x:c>
      <x:c r="G264" s="44" t="n">
        <x:f>IF(COUNT(E264:F264)=2,SUM(E264:F264),"")</x:f>
        <x:v>2795</x:v>
      </x:c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43" t="n">
        <x:f>'台北每日數據'!A265</x:f>
        <x:v>46097</x:v>
      </x:c>
      <x:c r="B265" s="44" t="n">
        <x:f>IF(COUNT('台北每日數據'!C265:D265)=2,'台北每日數據'!B265,"")</x:f>
        <x:v>280844</x:v>
      </x:c>
      <x:c r="C265" s="44" t="n">
        <x:f>IF(COUNT('新北每日數據'!C265:D265)=2,'新北每日數據'!B265,"")</x:f>
        <x:v>142746</x:v>
      </x:c>
      <x:c r="D265" s="44" t="n">
        <x:f>IF(COUNT(B265:C265)=2,SUM(B265:C265),"")</x:f>
        <x:v>423590</x:v>
      </x:c>
      <x:c r="E265" s="44" t="n">
        <x:f>IF(COUNT('台北每日數據'!C265:D265)=2,'台北每日數據'!G265,"")</x:f>
        <x:v>1698</x:v>
      </x:c>
      <x:c r="F265" s="44" t="n">
        <x:f>IF(COUNT('新北每日數據'!C265:D265)=2,'新北每日數據'!G265,"")</x:f>
        <x:v>866</x:v>
      </x:c>
      <x:c r="G265" s="44" t="n">
        <x:f>IF(COUNT(E265:F265)=2,SUM(E265:F265),"")</x:f>
        <x:v>2564</x:v>
      </x:c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43" t="n">
        <x:f>'台北每日數據'!A266</x:f>
        <x:v>46098</x:v>
      </x:c>
      <x:c r="B266" s="44" t="n">
        <x:f>IF(COUNT('台北每日數據'!C266:D266)=2,'台北每日數據'!B266,"")</x:f>
        <x:v>291854</x:v>
      </x:c>
      <x:c r="C266" s="44" t="n">
        <x:f>IF(COUNT('新北每日數據'!C266:D266)=2,'新北每日數據'!B266,"")</x:f>
        <x:v>147015</x:v>
      </x:c>
      <x:c r="D266" s="44" t="n">
        <x:f>IF(COUNT(B266:C266)=2,SUM(B266:C266),"")</x:f>
        <x:v>438869</x:v>
      </x:c>
      <x:c r="E266" s="44" t="n">
        <x:f>IF(COUNT('台北每日數據'!C266:D266)=2,'台北每日數據'!G266,"")</x:f>
        <x:v>1999</x:v>
      </x:c>
      <x:c r="F266" s="44" t="n">
        <x:f>IF(COUNT('新北每日數據'!C266:D266)=2,'新北每日數據'!G266,"")</x:f>
        <x:v>929</x:v>
      </x:c>
      <x:c r="G266" s="44" t="n">
        <x:f>IF(COUNT(E266:F266)=2,SUM(E266:F266),"")</x:f>
        <x:v>2928</x:v>
      </x:c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43" t="n">
        <x:f>'台北每日數據'!A267</x:f>
        <x:v>46099</x:v>
      </x:c>
      <x:c r="B267" s="44" t="n">
        <x:f>IF(COUNT('台北每日數據'!C267:D267)=2,'台北每日數據'!B267,"")</x:f>
        <x:v>296935</x:v>
      </x:c>
      <x:c r="C267" s="44" t="n">
        <x:f>IF(COUNT('新北每日數據'!C267:D267)=2,'新北每日數據'!B267,"")</x:f>
        <x:v>150467</x:v>
      </x:c>
      <x:c r="D267" s="44" t="n">
        <x:f>IF(COUNT(B267:C267)=2,SUM(B267:C267),"")</x:f>
        <x:v>447402</x:v>
      </x:c>
      <x:c r="E267" s="44" t="n">
        <x:f>IF(COUNT('台北每日數據'!C267:D267)=2,'台北每日數據'!G267,"")</x:f>
        <x:v>1974</x:v>
      </x:c>
      <x:c r="F267" s="44" t="n">
        <x:f>IF(COUNT('新北每日數據'!C267:D267)=2,'新北每日數據'!G267,"")</x:f>
        <x:v>977</x:v>
      </x:c>
      <x:c r="G267" s="44" t="n">
        <x:f>IF(COUNT(E267:F267)=2,SUM(E267:F267),"")</x:f>
        <x:v>2951</x:v>
      </x:c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43" t="n">
        <x:f>'台北每日數據'!A268</x:f>
        <x:v>46100</x:v>
      </x:c>
      <x:c r="B268" s="44" t="n">
        <x:f>IF(COUNT('台北每日數據'!C268:D268)=2,'台北每日數據'!B268,"")</x:f>
        <x:v>285291</x:v>
      </x:c>
      <x:c r="C268" s="44" t="n">
        <x:f>IF(COUNT('新北每日數據'!C268:D268)=2,'新北每日數據'!B268,"")</x:f>
        <x:v>142241</x:v>
      </x:c>
      <x:c r="D268" s="44" t="n">
        <x:f>IF(COUNT(B268:C268)=2,SUM(B268:C268),"")</x:f>
        <x:v>427532</x:v>
      </x:c>
      <x:c r="E268" s="44" t="n">
        <x:f>IF(COUNT('台北每日數據'!C268:D268)=2,'台北每日數據'!G268,"")</x:f>
        <x:v>1781</x:v>
      </x:c>
      <x:c r="F268" s="44" t="n">
        <x:f>IF(COUNT('新北每日數據'!C268:D268)=2,'新北每日數據'!G268,"")</x:f>
        <x:v>940</x:v>
      </x:c>
      <x:c r="G268" s="44" t="n">
        <x:f>IF(COUNT(E268:F268)=2,SUM(E268:F268),"")</x:f>
        <x:v>2721</x:v>
      </x:c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43" t="n">
        <x:f>'台北每日數據'!A269</x:f>
        <x:v>46101</x:v>
      </x:c>
      <x:c r="B269" s="44" t="n">
        <x:f>IF(COUNT('台北每日數據'!C269:D269)=2,'台北每日數據'!B269,"")</x:f>
        <x:v>306962</x:v>
      </x:c>
      <x:c r="C269" s="44" t="n">
        <x:f>IF(COUNT('新北每日數據'!C269:D269)=2,'新北每日數據'!B269,"")</x:f>
        <x:v>157164</x:v>
      </x:c>
      <x:c r="D269" s="44" t="n">
        <x:f>IF(COUNT(B269:C269)=2,SUM(B269:C269),"")</x:f>
        <x:v>464126</x:v>
      </x:c>
      <x:c r="E269" s="44" t="n">
        <x:f>IF(COUNT('台北每日數據'!C269:D269)=2,'台北每日數據'!G269,"")</x:f>
        <x:v>2042</x:v>
      </x:c>
      <x:c r="F269" s="44" t="n">
        <x:f>IF(COUNT('新北每日數據'!C269:D269)=2,'新北每日數據'!G269,"")</x:f>
        <x:v>1061</x:v>
      </x:c>
      <x:c r="G269" s="44" t="n">
        <x:f>IF(COUNT(E269:F269)=2,SUM(E269:F269),"")</x:f>
        <x:v>3103</x:v>
      </x:c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43" t="n">
        <x:f>'台北每日數據'!A270</x:f>
        <x:v>46102</x:v>
      </x:c>
      <x:c r="B270" s="44" t="n">
        <x:f>IF(COUNT('台北每日數據'!C270:D270)=2,'台北每日數據'!B270,"")</x:f>
        <x:v>253107</x:v>
      </x:c>
      <x:c r="C270" s="44" t="n">
        <x:f>IF(COUNT('新北每日數據'!C270:D270)=2,'新北每日數據'!B270,"")</x:f>
        <x:v>145334</x:v>
      </x:c>
      <x:c r="D270" s="44" t="n">
        <x:f>IF(COUNT(B270:C270)=2,SUM(B270:C270),"")</x:f>
        <x:v>398441</x:v>
      </x:c>
      <x:c r="E270" s="44" t="n">
        <x:f>IF(COUNT('台北每日數據'!C270:D270)=2,'台北每日數據'!G270,"")</x:f>
        <x:v>1908</x:v>
      </x:c>
      <x:c r="F270" s="44" t="n">
        <x:f>IF(COUNT('新北每日數據'!C270:D270)=2,'新北每日數據'!G270,"")</x:f>
        <x:v>980</x:v>
      </x:c>
      <x:c r="G270" s="44" t="n">
        <x:f>IF(COUNT(E270:F270)=2,SUM(E270:F270),"")</x:f>
        <x:v>2888</x:v>
      </x:c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43" t="n">
        <x:f>'台北每日數據'!A271</x:f>
        <x:v>46103</x:v>
      </x:c>
      <x:c r="B271" s="44" t="n">
        <x:f>IF(COUNT('台北每日數據'!C271:D271)=2,'台北每日數據'!B271,"")</x:f>
        <x:v>240329</x:v>
      </x:c>
      <x:c r="C271" s="44" t="n">
        <x:f>IF(COUNT('新北每日數據'!C271:D271)=2,'新北每日數據'!B271,"")</x:f>
        <x:v>140139</x:v>
      </x:c>
      <x:c r="D271" s="44" t="n">
        <x:f>IF(COUNT(B271:C271)=2,SUM(B271:C271),"")</x:f>
        <x:v>380468</x:v>
      </x:c>
      <x:c r="E271" s="44" t="n">
        <x:f>IF(COUNT('台北每日數據'!C271:D271)=2,'台北每日數據'!G271,"")</x:f>
        <x:v>1797</x:v>
      </x:c>
      <x:c r="F271" s="44" t="n">
        <x:f>IF(COUNT('新北每日數據'!C271:D271)=2,'新北每日數據'!G271,"")</x:f>
        <x:v>1071</x:v>
      </x:c>
      <x:c r="G271" s="44" t="n">
        <x:f>IF(COUNT(E271:F271)=2,SUM(E271:F271),"")</x:f>
        <x:v>2868</x:v>
      </x:c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43" t="n">
        <x:f>'台北每日數據'!A272</x:f>
        <x:v>46104</x:v>
      </x:c>
      <x:c r="B272" s="44" t="n">
        <x:f>IF(COUNT('台北每日數據'!C272:D272)=2,'台北每日數據'!B272,"")</x:f>
        <x:v>282377</x:v>
      </x:c>
      <x:c r="C272" s="44" t="n">
        <x:f>IF(COUNT('新北每日數據'!C272:D272)=2,'新北每日數據'!B272,"")</x:f>
        <x:v>142205</x:v>
      </x:c>
      <x:c r="D272" s="44" t="n">
        <x:f>IF(COUNT(B272:C272)=2,SUM(B272:C272),"")</x:f>
        <x:v>424582</x:v>
      </x:c>
      <x:c r="E272" s="44" t="n">
        <x:f>IF(COUNT('台北每日數據'!C272:D272)=2,'台北每日數據'!G272,"")</x:f>
        <x:v>1858</x:v>
      </x:c>
      <x:c r="F272" s="44" t="n">
        <x:f>IF(COUNT('新北每日數據'!C272:D272)=2,'新北每日數據'!G272,"")</x:f>
        <x:v>969</x:v>
      </x:c>
      <x:c r="G272" s="44" t="n">
        <x:f>IF(COUNT(E272:F272)=2,SUM(E272:F272),"")</x:f>
        <x:v>2827</x:v>
      </x:c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43" t="n">
        <x:f>'台北每日數據'!A273</x:f>
        <x:v>46105</x:v>
      </x:c>
      <x:c r="B273" s="44" t="n">
        <x:f>IF(COUNT('台北每日數據'!C273:D273)=2,'台北每日數據'!B273,"")</x:f>
        <x:v>294194</x:v>
      </x:c>
      <x:c r="C273" s="44" t="n">
        <x:f>IF(COUNT('新北每日數據'!C273:D273)=2,'新北每日數據'!B273,"")</x:f>
        <x:v>147293</x:v>
      </x:c>
      <x:c r="D273" s="44" t="n">
        <x:f>IF(COUNT(B273:C273)=2,SUM(B273:C273),"")</x:f>
        <x:v>441487</x:v>
      </x:c>
      <x:c r="E273" s="44" t="n">
        <x:f>IF(COUNT('台北每日數據'!C273:D273)=2,'台北每日數據'!G273,"")</x:f>
        <x:v>1931</x:v>
      </x:c>
      <x:c r="F273" s="44" t="n">
        <x:f>IF(COUNT('新北每日數據'!C273:D273)=2,'新北每日數據'!G273,"")</x:f>
        <x:v>1093</x:v>
      </x:c>
      <x:c r="G273" s="44" t="n">
        <x:f>IF(COUNT(E273:F273)=2,SUM(E273:F273),"")</x:f>
        <x:v>3024</x:v>
      </x:c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43" t="n">
        <x:f>'台北每日數據'!A274</x:f>
        <x:v>46106</x:v>
      </x:c>
      <x:c r="B274" s="44" t="n">
        <x:f>IF(COUNT('台北每日數據'!C274:D274)=2,'台北每日數據'!B274,"")</x:f>
        <x:v>296317</x:v>
      </x:c>
      <x:c r="C274" s="44" t="n">
        <x:f>IF(COUNT('新北每日數據'!C274:D274)=2,'新北每日數據'!B274,"")</x:f>
        <x:v>150904</x:v>
      </x:c>
      <x:c r="D274" s="44" t="n">
        <x:f>IF(COUNT(B274:C274)=2,SUM(B274:C274),"")</x:f>
        <x:v>447221</x:v>
      </x:c>
      <x:c r="E274" s="44" t="n">
        <x:f>IF(COUNT('台北每日數據'!C274:D274)=2,'台北每日數據'!G274,"")</x:f>
        <x:v>1980</x:v>
      </x:c>
      <x:c r="F274" s="44" t="n">
        <x:f>IF(COUNT('新北每日數據'!C274:D274)=2,'新北每日數據'!G274,"")</x:f>
        <x:v>1088</x:v>
      </x:c>
      <x:c r="G274" s="44" t="n">
        <x:f>IF(COUNT(E274:F274)=2,SUM(E274:F274),"")</x:f>
        <x:v>3068</x:v>
      </x:c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43" t="n">
        <x:f>'台北每日數據'!A275</x:f>
        <x:v>46107</x:v>
      </x:c>
      <x:c r="B275" s="44" t="n">
        <x:f>IF(COUNT('台北每日數據'!C275:D275)=2,'台北每日數據'!B275,"")</x:f>
        <x:v>277531</x:v>
      </x:c>
      <x:c r="C275" s="44" t="n">
        <x:f>IF(COUNT('新北每日數據'!C275:D275)=2,'新北每日數據'!B275,"")</x:f>
        <x:v>139795</x:v>
      </x:c>
      <x:c r="D275" s="44" t="n">
        <x:f>IF(COUNT(B275:C275)=2,SUM(B275:C275),"")</x:f>
        <x:v>417326</x:v>
      </x:c>
      <x:c r="E275" s="44" t="n">
        <x:f>IF(COUNT('台北每日數據'!C275:D275)=2,'台北每日數據'!G275,"")</x:f>
        <x:v>2010</x:v>
      </x:c>
      <x:c r="F275" s="44" t="n">
        <x:f>IF(COUNT('新北每日數據'!C275:D275)=2,'新北每日數據'!G275,"")</x:f>
        <x:v>1038</x:v>
      </x:c>
      <x:c r="G275" s="44" t="n">
        <x:f>IF(COUNT(E275:F275)=2,SUM(E275:F275),"")</x:f>
        <x:v>3048</x:v>
      </x:c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43" t="n">
        <x:f>'台北每日數據'!A276</x:f>
        <x:v>46108</x:v>
      </x:c>
      <x:c r="B276" s="44" t="n">
        <x:f>IF(COUNT('台北每日數據'!C276:D276)=2,'台北每日數據'!B276,"")</x:f>
        <x:v>198149</x:v>
      </x:c>
      <x:c r="C276" s="44" t="n">
        <x:f>IF(COUNT('新北每日數據'!C276:D276)=2,'新北每日數據'!B276,"")</x:f>
        <x:v>109923</x:v>
      </x:c>
      <x:c r="D276" s="44" t="n">
        <x:f>IF(COUNT(B276:C276)=2,SUM(B276:C276),"")</x:f>
        <x:v>308072</x:v>
      </x:c>
      <x:c r="E276" s="44" t="n">
        <x:f>IF(COUNT('台北每日數據'!C276:D276)=2,'台北每日數據'!G276,"")</x:f>
        <x:v>1211</x:v>
      </x:c>
      <x:c r="F276" s="44" t="n">
        <x:f>IF(COUNT('新北每日數據'!C276:D276)=2,'新北每日數據'!G276,"")</x:f>
        <x:v>540</x:v>
      </x:c>
      <x:c r="G276" s="44" t="n">
        <x:f>IF(COUNT(E276:F276)=2,SUM(E276:F276),"")</x:f>
        <x:v>1751</x:v>
      </x:c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43" t="n">
        <x:f>'台北每日數據'!A277</x:f>
        <x:v>46109</x:v>
      </x:c>
      <x:c r="B277" s="44" t="n">
        <x:f>IF(COUNT('台北每日數據'!C277:D277)=2,'台北每日數據'!B277,"")</x:f>
        <x:v>253169</x:v>
      </x:c>
      <x:c r="C277" s="44" t="n">
        <x:f>IF(COUNT('新北每日數據'!C277:D277)=2,'新北每日數據'!B277,"")</x:f>
        <x:v>148632</x:v>
      </x:c>
      <x:c r="D277" s="44" t="n">
        <x:f>IF(COUNT(B277:C277)=2,SUM(B277:C277),"")</x:f>
        <x:v>401801</x:v>
      </x:c>
      <x:c r="E277" s="44" t="n">
        <x:f>IF(COUNT('台北每日數據'!C277:D277)=2,'台北每日數據'!G277,"")</x:f>
        <x:v>2244</x:v>
      </x:c>
      <x:c r="F277" s="44" t="n">
        <x:f>IF(COUNT('新北每日數據'!C277:D277)=2,'新北每日數據'!G277,"")</x:f>
        <x:v>1145</x:v>
      </x:c>
      <x:c r="G277" s="44" t="n">
        <x:f>IF(COUNT(E277:F277)=2,SUM(E277:F277),"")</x:f>
        <x:v>3389</x:v>
      </x:c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43" t="n">
        <x:f>'台北每日數據'!A278</x:f>
        <x:v>46110</x:v>
      </x:c>
      <x:c r="B278" s="44" t="n">
        <x:f>IF(COUNT('台北每日數據'!C278:D278)=2,'台北每日數據'!B278,"")</x:f>
        <x:v>222633</x:v>
      </x:c>
      <x:c r="C278" s="44" t="n">
        <x:f>IF(COUNT('新北每日數據'!C278:D278)=2,'新北每日數據'!B278,"")</x:f>
        <x:v>126809</x:v>
      </x:c>
      <x:c r="D278" s="44" t="n">
        <x:f>IF(COUNT(B278:C278)=2,SUM(B278:C278),"")</x:f>
        <x:v>349442</x:v>
      </x:c>
      <x:c r="E278" s="44" t="n">
        <x:f>IF(COUNT('台北每日數據'!C278:D278)=2,'台北每日數據'!G278,"")</x:f>
        <x:v>2043</x:v>
      </x:c>
      <x:c r="F278" s="44" t="n">
        <x:f>IF(COUNT('新北每日數據'!C278:D278)=2,'新北每日數據'!G278,"")</x:f>
        <x:v>1065</x:v>
      </x:c>
      <x:c r="G278" s="44" t="n">
        <x:f>IF(COUNT(E278:F278)=2,SUM(E278:F278),"")</x:f>
        <x:v>3108</x:v>
      </x:c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43" t="n">
        <x:f>'台北每日數據'!A279</x:f>
        <x:v>46111</x:v>
      </x:c>
      <x:c r="B279" s="44" t="n">
        <x:f>IF(COUNT('台北每日數據'!C279:D279)=2,'台北每日數據'!B279,"")</x:f>
        <x:v>263940</x:v>
      </x:c>
      <x:c r="C279" s="44" t="n">
        <x:f>IF(COUNT('新北每日數據'!C279:D279)=2,'新北每日數據'!B279,"")</x:f>
        <x:v>139010</x:v>
      </x:c>
      <x:c r="D279" s="44" t="n">
        <x:f>IF(COUNT(B279:C279)=2,SUM(B279:C279),"")</x:f>
        <x:v>402950</x:v>
      </x:c>
      <x:c r="E279" s="44" t="n">
        <x:f>IF(COUNT('台北每日數據'!C279:D279)=2,'台北每日數據'!G279,"")</x:f>
        <x:v>2382</x:v>
      </x:c>
      <x:c r="F279" s="44" t="n">
        <x:f>IF(COUNT('新北每日數據'!C279:D279)=2,'新北每日數據'!G279,"")</x:f>
        <x:v>1176</x:v>
      </x:c>
      <x:c r="G279" s="44" t="n">
        <x:f>IF(COUNT(E279:F279)=2,SUM(E279:F279),"")</x:f>
        <x:v>3558</x:v>
      </x:c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43" t="n">
        <x:f>'台北每日數據'!A280</x:f>
        <x:v>46112</x:v>
      </x:c>
      <x:c r="B280" s="44" t="n">
        <x:f>IF(COUNT('台北每日數據'!C280:D280)=2,'台北每日數據'!B280,"")</x:f>
        <x:v>291505</x:v>
      </x:c>
      <x:c r="C280" s="44" t="n">
        <x:f>IF(COUNT('新北每日數據'!C280:D280)=2,'新北每日數據'!B280,"")</x:f>
        <x:v>148021</x:v>
      </x:c>
      <x:c r="D280" s="44" t="n">
        <x:f>IF(COUNT(B280:C280)=2,SUM(B280:C280),"")</x:f>
        <x:v>439526</x:v>
      </x:c>
      <x:c r="E280" s="44" t="n">
        <x:f>IF(COUNT('台北每日數據'!C280:D280)=2,'台北每日數據'!G280,"")</x:f>
        <x:v>3285</x:v>
      </x:c>
      <x:c r="F280" s="44" t="n">
        <x:f>IF(COUNT('新北每日數據'!C280:D280)=2,'新北每日數據'!G280,"")</x:f>
        <x:v>1652</x:v>
      </x:c>
      <x:c r="G280" s="44" t="n">
        <x:f>IF(COUNT(E280:F280)=2,SUM(E280:F280),"")</x:f>
        <x:v>4937</x:v>
      </x:c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43" t="n">
        <x:f>'台北每日數據'!A281</x:f>
        <x:v>46113</x:v>
      </x:c>
      <x:c r="B281" s="44" t="n">
        <x:f>IF(COUNT('台北每日數據'!C281:D281)=2,'台北每日數據'!B281,"")</x:f>
        <x:v>232711</x:v>
      </x:c>
      <x:c r="C281" s="44" t="n">
        <x:f>IF(COUNT('新北每日數據'!C281:D281)=2,'新北每日數據'!B281,"")</x:f>
        <x:v>123815</x:v>
      </x:c>
      <x:c r="D281" s="44" t="n">
        <x:f>IF(COUNT(B281:C281)=2,SUM(B281:C281),"")</x:f>
        <x:v>356526</x:v>
      </x:c>
      <x:c r="E281" s="44" t="n">
        <x:f>IF(COUNT('台北每日數據'!C281:D281)=2,'台北每日數據'!G281,"")</x:f>
        <x:v>1267</x:v>
      </x:c>
      <x:c r="F281" s="44" t="n">
        <x:f>IF(COUNT('新北每日數據'!C281:D281)=2,'新北每日數據'!G281,"")</x:f>
        <x:v>772</x:v>
      </x:c>
      <x:c r="G281" s="44" t="n">
        <x:f>IF(COUNT(E281:F281)=2,SUM(E281:F281),"")</x:f>
        <x:v>2039</x:v>
      </x:c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43" t="n">
        <x:f>'台北每日數據'!A282</x:f>
        <x:v>46114</x:v>
      </x:c>
      <x:c r="B282" s="44" t="n">
        <x:f>IF(COUNT('台北每日數據'!C282:D282)=2,'台北每日數據'!B282,"")</x:f>
        <x:v>298441</x:v>
      </x:c>
      <x:c r="C282" s="44" t="n">
        <x:f>IF(COUNT('新北每日數據'!C282:D282)=2,'新北每日數據'!B282,"")</x:f>
        <x:v>154893</x:v>
      </x:c>
      <x:c r="D282" s="44" t="n">
        <x:f>IF(COUNT(B282:C282)=2,SUM(B282:C282),"")</x:f>
        <x:v>453334</x:v>
      </x:c>
      <x:c r="E282" s="44" t="n">
        <x:f>IF(COUNT('台北每日數據'!C282:D282)=2,'台北每日數據'!G282,"")</x:f>
        <x:v>1877</x:v>
      </x:c>
      <x:c r="F282" s="44" t="n">
        <x:f>IF(COUNT('新北每日數據'!C282:D282)=2,'新北每日數據'!G282,"")</x:f>
        <x:v>1095</x:v>
      </x:c>
      <x:c r="G282" s="44" t="n">
        <x:f>IF(COUNT(E282:F282)=2,SUM(E282:F282),"")</x:f>
        <x:v>2972</x:v>
      </x:c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43" t="n">
        <x:f>'台北每日數據'!A283</x:f>
        <x:v>46115</x:v>
      </x:c>
      <x:c r="B283" s="44" t="n">
        <x:f>IF(COUNT('台北每日數據'!C283:D283)=2,'台北每日數據'!B283,"")</x:f>
        <x:v>160209</x:v>
      </x:c>
      <x:c r="C283" s="44" t="n">
        <x:f>IF(COUNT('新北每日數據'!C283:D283)=2,'新北每日數據'!B283,"")</x:f>
        <x:v>98798</x:v>
      </x:c>
      <x:c r="D283" s="44" t="n">
        <x:f>IF(COUNT(B283:C283)=2,SUM(B283:C283),"")</x:f>
        <x:v>259007</x:v>
      </x:c>
      <x:c r="E283" s="44" t="n">
        <x:f>IF(COUNT('台北每日數據'!C283:D283)=2,'台北每日數據'!G283,"")</x:f>
        <x:v>1031</x:v>
      </x:c>
      <x:c r="F283" s="44" t="n">
        <x:f>IF(COUNT('新北每日數據'!C283:D283)=2,'新北每日數據'!G283,"")</x:f>
        <x:v>679</x:v>
      </x:c>
      <x:c r="G283" s="44" t="n">
        <x:f>IF(COUNT(E283:F283)=2,SUM(E283:F283),"")</x:f>
        <x:v>1710</x:v>
      </x:c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43" t="n">
        <x:f>'台北每日數據'!A284</x:f>
        <x:v>46116</x:v>
      </x:c>
      <x:c r="B284" s="44" t="n">
        <x:f>IF(COUNT('台北每日數據'!C284:D284)=2,'台北每日數據'!B284,"")</x:f>
        <x:v>112752</x:v>
      </x:c>
      <x:c r="C284" s="44" t="n">
        <x:f>IF(COUNT('新北每日數據'!C284:D284)=2,'新北每日數據'!B284,"")</x:f>
        <x:v>72243</x:v>
      </x:c>
      <x:c r="D284" s="44" t="n">
        <x:f>IF(COUNT(B284:C284)=2,SUM(B284:C284),"")</x:f>
        <x:v>184995</x:v>
      </x:c>
      <x:c r="E284" s="44" t="n">
        <x:f>IF(COUNT('台北每日數據'!C284:D284)=2,'台北每日數據'!G284,"")</x:f>
        <x:v>861</x:v>
      </x:c>
      <x:c r="F284" s="44" t="n">
        <x:f>IF(COUNT('新北每日數據'!C284:D284)=2,'新北每日數據'!G284,"")</x:f>
        <x:v>523</x:v>
      </x:c>
      <x:c r="G284" s="44" t="n">
        <x:f>IF(COUNT(E284:F284)=2,SUM(E284:F284),"")</x:f>
        <x:v>1384</x:v>
      </x:c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43" t="n">
        <x:f>'台北每日數據'!A285</x:f>
        <x:v>46117</x:v>
      </x:c>
      <x:c r="B285" s="44" t="n">
        <x:f>IF(COUNT('台北每日數據'!C285:D285)=2,'台北每日數據'!B285,"")</x:f>
        <x:v>205054</x:v>
      </x:c>
      <x:c r="C285" s="44" t="n">
        <x:f>IF(COUNT('新北每日數據'!C285:D285)=2,'新北每日數據'!B285,"")</x:f>
        <x:v>132684</x:v>
      </x:c>
      <x:c r="D285" s="44" t="n">
        <x:f>IF(COUNT(B285:C285)=2,SUM(B285:C285),"")</x:f>
        <x:v>337738</x:v>
      </x:c>
      <x:c r="E285" s="44" t="n">
        <x:f>IF(COUNT('台北每日數據'!C285:D285)=2,'台北每日數據'!G285,"")</x:f>
        <x:v>1502</x:v>
      </x:c>
      <x:c r="F285" s="44" t="n">
        <x:f>IF(COUNT('新北每日數據'!C285:D285)=2,'新北每日數據'!G285,"")</x:f>
        <x:v>947</x:v>
      </x:c>
      <x:c r="G285" s="44" t="n">
        <x:f>IF(COUNT(E285:F285)=2,SUM(E285:F285),"")</x:f>
        <x:v>2449</x:v>
      </x:c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43" t="n">
        <x:f>'台北每日數據'!A286</x:f>
        <x:v>46118</x:v>
      </x:c>
      <x:c r="B286" s="44" t="n">
        <x:f>IF(COUNT('台北每日數據'!C286:D286)=2,'台北每日數據'!B286,"")</x:f>
        <x:v>174441</x:v>
      </x:c>
      <x:c r="C286" s="44" t="n">
        <x:f>IF(COUNT('新北每日數據'!C286:D286)=2,'新北每日數據'!B286,"")</x:f>
        <x:v>114383</x:v>
      </x:c>
      <x:c r="D286" s="44" t="n">
        <x:f>IF(COUNT(B286:C286)=2,SUM(B286:C286),"")</x:f>
        <x:v>288824</x:v>
      </x:c>
      <x:c r="E286" s="44" t="n">
        <x:f>IF(COUNT('台北每日數據'!C286:D286)=2,'台北每日數據'!G286,"")</x:f>
        <x:v>1134</x:v>
      </x:c>
      <x:c r="F286" s="44" t="n">
        <x:f>IF(COUNT('新北每日數據'!C286:D286)=2,'新北每日數據'!G286,"")</x:f>
        <x:v>744</x:v>
      </x:c>
      <x:c r="G286" s="44" t="n">
        <x:f>IF(COUNT(E286:F286)=2,SUM(E286:F286),"")</x:f>
        <x:v>1878</x:v>
      </x:c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43" t="n">
        <x:f>'台北每日數據'!A287</x:f>
        <x:v>46119</x:v>
      </x:c>
      <x:c r="B287" s="44" t="n">
        <x:f>IF(COUNT('台北每日數據'!C287:D287)=2,'台北每日數據'!B287,"")</x:f>
        <x:v>145200</x:v>
      </x:c>
      <x:c r="C287" s="44" t="n">
        <x:f>IF(COUNT('新北每日數據'!C287:D287)=2,'新北每日數據'!B287,"")</x:f>
        <x:v>78514</x:v>
      </x:c>
      <x:c r="D287" s="44" t="n">
        <x:f>IF(COUNT(B287:C287)=2,SUM(B287:C287),"")</x:f>
        <x:v>223714</x:v>
      </x:c>
      <x:c r="E287" s="44" t="n">
        <x:f>IF(COUNT('台北每日數據'!C287:D287)=2,'台北每日數據'!G287,"")</x:f>
        <x:v>772</x:v>
      </x:c>
      <x:c r="F287" s="44" t="n">
        <x:f>IF(COUNT('新北每日數據'!C287:D287)=2,'新北每日數據'!G287,"")</x:f>
        <x:v>421</x:v>
      </x:c>
      <x:c r="G287" s="44" t="n">
        <x:f>IF(COUNT(E287:F287)=2,SUM(E287:F287),"")</x:f>
        <x:v>1193</x:v>
      </x:c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43" t="n">
        <x:f>'台北每日數據'!A288</x:f>
        <x:v>46120</x:v>
      </x:c>
      <x:c r="B288" s="44" t="n">
        <x:f>IF(COUNT('台北每日數據'!C288:D288)=2,'台北每日數據'!B288,"")</x:f>
        <x:v>245369</x:v>
      </x:c>
      <x:c r="C288" s="44" t="n">
        <x:f>IF(COUNT('新北每日數據'!C288:D288)=2,'新北每日數據'!B288,"")</x:f>
        <x:v>130618</x:v>
      </x:c>
      <x:c r="D288" s="44" t="n">
        <x:f>IF(COUNT(B288:C288)=2,SUM(B288:C288),"")</x:f>
        <x:v>375987</x:v>
      </x:c>
      <x:c r="E288" s="44" t="n">
        <x:f>IF(COUNT('台北每日數據'!C288:D288)=2,'台北每日數據'!G288,"")</x:f>
        <x:v>1495</x:v>
      </x:c>
      <x:c r="F288" s="44" t="n">
        <x:f>IF(COUNT('新北每日數據'!C288:D288)=2,'新北每日數據'!G288,"")</x:f>
        <x:v>852</x:v>
      </x:c>
      <x:c r="G288" s="44" t="n">
        <x:f>IF(COUNT(E288:F288)=2,SUM(E288:F288),"")</x:f>
        <x:v>2347</x:v>
      </x:c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43" t="n">
        <x:f>'台北每日數據'!A289</x:f>
        <x:v>46121</x:v>
      </x:c>
      <x:c r="B289" s="44" t="n">
        <x:f>IF(COUNT('台北每日數據'!C289:D289)=2,'台北每日數據'!B289,"")</x:f>
        <x:v>308168</x:v>
      </x:c>
      <x:c r="C289" s="44" t="n">
        <x:f>IF(COUNT('新北每日數據'!C289:D289)=2,'新北每日數據'!B289,"")</x:f>
        <x:v>155470</x:v>
      </x:c>
      <x:c r="D289" s="44" t="n">
        <x:f>IF(COUNT(B289:C289)=2,SUM(B289:C289),"")</x:f>
        <x:v>463638</x:v>
      </x:c>
      <x:c r="E289" s="44" t="n">
        <x:f>IF(COUNT('台北每日數據'!C289:D289)=2,'台北每日數據'!G289,"")</x:f>
        <x:v>1967</x:v>
      </x:c>
      <x:c r="F289" s="44" t="n">
        <x:f>IF(COUNT('新北每日數據'!C289:D289)=2,'新北每日數據'!G289,"")</x:f>
        <x:v>1114</x:v>
      </x:c>
      <x:c r="G289" s="44" t="n">
        <x:f>IF(COUNT(E289:F289)=2,SUM(E289:F289),"")</x:f>
        <x:v>3081</x:v>
      </x:c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43" t="n">
        <x:f>'台北每日數據'!A290</x:f>
        <x:v>46122</x:v>
      </x:c>
      <x:c r="B290" s="44" t="n">
        <x:f>IF(COUNT('台北每日數據'!C290:D290)=2,'台北每日數據'!B290,"")</x:f>
        <x:v>318143</x:v>
      </x:c>
      <x:c r="C290" s="44" t="n">
        <x:f>IF(COUNT('新北每日數據'!C290:D290)=2,'新北每日數據'!B290,"")</x:f>
        <x:v>164356</x:v>
      </x:c>
      <x:c r="D290" s="44" t="n">
        <x:f>IF(COUNT(B290:C290)=2,SUM(B290:C290),"")</x:f>
        <x:v>482499</x:v>
      </x:c>
      <x:c r="E290" s="44" t="n">
        <x:f>IF(COUNT('台北每日數據'!C290:D290)=2,'台北每日數據'!G290,"")</x:f>
        <x:v>2006</x:v>
      </x:c>
      <x:c r="F290" s="44" t="n">
        <x:f>IF(COUNT('新北每日數據'!C290:D290)=2,'新北每日數據'!G290,"")</x:f>
        <x:v>1091</x:v>
      </x:c>
      <x:c r="G290" s="44" t="n">
        <x:f>IF(COUNT(E290:F290)=2,SUM(E290:F290),"")</x:f>
        <x:v>3097</x:v>
      </x:c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43" t="n">
        <x:f>'台北每日數據'!A291</x:f>
        <x:v>46123</x:v>
      </x:c>
      <x:c r="B291" s="44" t="n">
        <x:f>IF(COUNT('台北每日數據'!C291:D291)=2,'台北每日數據'!B291,"")</x:f>
        <x:v>276029</x:v>
      </x:c>
      <x:c r="C291" s="44" t="n">
        <x:f>IF(COUNT('新北每日數據'!C291:D291)=2,'新北每日數據'!B291,"")</x:f>
        <x:v>167806</x:v>
      </x:c>
      <x:c r="D291" s="44" t="n">
        <x:f>IF(COUNT(B291:C291)=2,SUM(B291:C291),"")</x:f>
        <x:v>443835</x:v>
      </x:c>
      <x:c r="E291" s="44" t="n">
        <x:f>IF(COUNT('台北每日數據'!C291:D291)=2,'台北每日數據'!G291,"")</x:f>
        <x:v>1830</x:v>
      </x:c>
      <x:c r="F291" s="44" t="n">
        <x:f>IF(COUNT('新北每日數據'!C291:D291)=2,'新北每日數據'!G291,"")</x:f>
        <x:v>1166</x:v>
      </x:c>
      <x:c r="G291" s="44" t="n">
        <x:f>IF(COUNT(E291:F291)=2,SUM(E291:F291),"")</x:f>
        <x:v>2996</x:v>
      </x:c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43" t="n">
        <x:f>'台北每日數據'!A292</x:f>
        <x:v>46124</x:v>
      </x:c>
      <x:c r="B292" s="44" t="n">
        <x:f>IF(COUNT('台北每日數據'!C292:D292)=2,'台北每日數據'!B292,"")</x:f>
        <x:v>251471</x:v>
      </x:c>
      <x:c r="C292" s="44" t="n">
        <x:f>IF(COUNT('新北每日數據'!C292:D292)=2,'新北每日數據'!B292,"")</x:f>
        <x:v>153648</x:v>
      </x:c>
      <x:c r="D292" s="44" t="n">
        <x:f>IF(COUNT(B292:C292)=2,SUM(B292:C292),"")</x:f>
        <x:v>405119</x:v>
      </x:c>
      <x:c r="E292" s="44" t="n">
        <x:f>IF(COUNT('台北每日數據'!C292:D292)=2,'台北每日數據'!G292,"")</x:f>
        <x:v>1690</x:v>
      </x:c>
      <x:c r="F292" s="44" t="n">
        <x:f>IF(COUNT('新北每日數據'!C292:D292)=2,'新北每日數據'!G292,"")</x:f>
        <x:v>1058</x:v>
      </x:c>
      <x:c r="G292" s="44" t="n">
        <x:f>IF(COUNT(E292:F292)=2,SUM(E292:F292),"")</x:f>
        <x:v>2748</x:v>
      </x:c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43" t="n">
        <x:f>'台北每日數據'!A293</x:f>
        <x:v>46125</x:v>
      </x:c>
      <x:c r="B293" s="44" t="n">
        <x:f>IF(COUNT('台北每日數據'!C293:D293)=2,'台北每日數據'!B293,"")</x:f>
        <x:v>289733</x:v>
      </x:c>
      <x:c r="C293" s="44" t="n">
        <x:f>IF(COUNT('新北每日數據'!C293:D293)=2,'新北每日數據'!B293,"")</x:f>
        <x:v>150632</x:v>
      </x:c>
      <x:c r="D293" s="44" t="n">
        <x:f>IF(COUNT(B293:C293)=2,SUM(B293:C293),"")</x:f>
        <x:v>440365</x:v>
      </x:c>
      <x:c r="E293" s="44" t="n">
        <x:f>IF(COUNT('台北每日數據'!C293:D293)=2,'台北每日數據'!G293,"")</x:f>
        <x:v>1747</x:v>
      </x:c>
      <x:c r="F293" s="44" t="n">
        <x:f>IF(COUNT('新北每日數據'!C293:D293)=2,'新北每日數據'!G293,"")</x:f>
        <x:v>1002</x:v>
      </x:c>
      <x:c r="G293" s="44" t="n">
        <x:f>IF(COUNT(E293:F293)=2,SUM(E293:F293),"")</x:f>
        <x:v>2749</x:v>
      </x:c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43" t="n">
        <x:f>'台北每日數據'!A294</x:f>
        <x:v>46126</x:v>
      </x:c>
      <x:c r="B294" s="44" t="n">
        <x:f>IF(COUNT('台北每日數據'!C294:D294)=2,'台北每日數據'!B294,"")</x:f>
        <x:v>299500</x:v>
      </x:c>
      <x:c r="C294" s="44" t="n">
        <x:f>IF(COUNT('新北每日數據'!C294:D294)=2,'新北每日數據'!B294,"")</x:f>
        <x:v>153904</x:v>
      </x:c>
      <x:c r="D294" s="44" t="n">
        <x:f>IF(COUNT(B294:C294)=2,SUM(B294:C294),"")</x:f>
        <x:v>453404</x:v>
      </x:c>
      <x:c r="E294" s="44" t="n">
        <x:f>IF(COUNT('台北每日數據'!C294:D294)=2,'台北每日數據'!G294,"")</x:f>
        <x:v>1932</x:v>
      </x:c>
      <x:c r="F294" s="44" t="n">
        <x:f>IF(COUNT('新北每日數據'!C294:D294)=2,'新北每日數據'!G294,"")</x:f>
        <x:v>994</x:v>
      </x:c>
      <x:c r="G294" s="44" t="n">
        <x:f>IF(COUNT(E294:F294)=2,SUM(E294:F294),"")</x:f>
        <x:v>2926</x:v>
      </x:c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43" t="n">
        <x:f>'台北每日數據'!A295</x:f>
        <x:v>46127</x:v>
      </x:c>
      <x:c r="B295" s="44" t="n">
        <x:f>IF(COUNT('台北每日數據'!C295:D295)=2,'台北每日數據'!B295,"")</x:f>
        <x:v>253794</x:v>
      </x:c>
      <x:c r="C295" s="44" t="n">
        <x:f>IF(COUNT('新北每日數據'!C295:D295)=2,'新北每日數據'!B295,"")</x:f>
        <x:v>132390</x:v>
      </x:c>
      <x:c r="D295" s="44" t="n">
        <x:f>IF(COUNT(B295:C295)=2,SUM(B295:C295),"")</x:f>
        <x:v>386184</x:v>
      </x:c>
      <x:c r="E295" s="44" t="n">
        <x:f>IF(COUNT('台北每日數據'!C295:D295)=2,'台北每日數據'!G295,"")</x:f>
        <x:v>1725</x:v>
      </x:c>
      <x:c r="F295" s="44" t="n">
        <x:f>IF(COUNT('新北每日數據'!C295:D295)=2,'新北每日數據'!G295,"")</x:f>
        <x:v>890</x:v>
      </x:c>
      <x:c r="G295" s="44" t="n">
        <x:f>IF(COUNT(E295:F295)=2,SUM(E295:F295),"")</x:f>
        <x:v>2615</x:v>
      </x:c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43" t="n">
        <x:f>'台北每日數據'!A296</x:f>
        <x:v>46128</x:v>
      </x:c>
      <x:c r="B296" s="44" t="n">
        <x:f>IF(COUNT('台北每日數據'!C296:D296)=2,'台北每日數據'!B296,"")</x:f>
        <x:v>255419</x:v>
      </x:c>
      <x:c r="C296" s="44" t="n">
        <x:f>IF(COUNT('新北每日數據'!C296:D296)=2,'新北每日數據'!B296,"")</x:f>
        <x:v>130646</x:v>
      </x:c>
      <x:c r="D296" s="44" t="n">
        <x:f>IF(COUNT(B296:C296)=2,SUM(B296:C296),"")</x:f>
        <x:v>386065</x:v>
      </x:c>
      <x:c r="E296" s="44" t="n">
        <x:f>IF(COUNT('台北每日數據'!C296:D296)=2,'台北每日數據'!G296,"")</x:f>
        <x:v>1746</x:v>
      </x:c>
      <x:c r="F296" s="44" t="n">
        <x:f>IF(COUNT('新北每日數據'!C296:D296)=2,'新北每日數據'!G296,"")</x:f>
        <x:v>865</x:v>
      </x:c>
      <x:c r="G296" s="44" t="n">
        <x:f>IF(COUNT(E296:F296)=2,SUM(E296:F296),"")</x:f>
        <x:v>2611</x:v>
      </x:c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43" t="n">
        <x:f>'台北每日數據'!A297</x:f>
        <x:v>46129</x:v>
      </x:c>
      <x:c r="B297" s="44" t="n">
        <x:f>IF(COUNT('台北每日數據'!C297:D297)=2,'台北每日數據'!B297,"")</x:f>
        <x:v>314735</x:v>
      </x:c>
      <x:c r="C297" s="44" t="n">
        <x:f>IF(COUNT('新北每日數據'!C297:D297)=2,'新北每日數據'!B297,"")</x:f>
        <x:v>163208</x:v>
      </x:c>
      <x:c r="D297" s="44" t="n">
        <x:f>IF(COUNT(B297:C297)=2,SUM(B297:C297),"")</x:f>
        <x:v>477943</x:v>
      </x:c>
      <x:c r="E297" s="44" t="n">
        <x:f>IF(COUNT('台北每日數據'!C297:D297)=2,'台北每日數據'!G297,"")</x:f>
        <x:v>2159</x:v>
      </x:c>
      <x:c r="F297" s="44" t="n">
        <x:f>IF(COUNT('新北每日數據'!C297:D297)=2,'新北每日數據'!G297,"")</x:f>
        <x:v>1031</x:v>
      </x:c>
      <x:c r="G297" s="44" t="n">
        <x:f>IF(COUNT(E297:F297)=2,SUM(E297:F297),"")</x:f>
        <x:v>3190</x:v>
      </x:c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43" t="n">
        <x:f>'台北每日數據'!A298</x:f>
        <x:v>46130</x:v>
      </x:c>
      <x:c r="B298" s="44" t="n">
        <x:f>IF(COUNT('台北每日數據'!C298:D298)=2,'台北每日數據'!B298,"")</x:f>
        <x:v>258263</x:v>
      </x:c>
      <x:c r="C298" s="44" t="n">
        <x:f>IF(COUNT('新北每日數據'!C298:D298)=2,'新北每日數據'!B298,"")</x:f>
        <x:v>159354</x:v>
      </x:c>
      <x:c r="D298" s="44" t="n">
        <x:f>IF(COUNT(B298:C298)=2,SUM(B298:C298),"")</x:f>
        <x:v>417617</x:v>
      </x:c>
      <x:c r="E298" s="44" t="n">
        <x:f>IF(COUNT('台北每日數據'!C298:D298)=2,'台北每日數據'!G298,"")</x:f>
        <x:v>1903</x:v>
      </x:c>
      <x:c r="F298" s="44" t="n">
        <x:f>IF(COUNT('新北每日數據'!C298:D298)=2,'新北每日數據'!G298,"")</x:f>
        <x:v>1020</x:v>
      </x:c>
      <x:c r="G298" s="44" t="n">
        <x:f>IF(COUNT(E298:F298)=2,SUM(E298:F298),"")</x:f>
        <x:v>2923</x:v>
      </x:c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43" t="n">
        <x:f>'台北每日數據'!A299</x:f>
        <x:v>46131</x:v>
      </x:c>
      <x:c r="B299" s="44" t="n">
        <x:f>IF(COUNT('台北每日數據'!C299:D299)=2,'台北每日數據'!B299,"")</x:f>
        <x:v>253827</x:v>
      </x:c>
      <x:c r="C299" s="44" t="n">
        <x:f>IF(COUNT('新北每日數據'!C299:D299)=2,'新北每日數據'!B299,"")</x:f>
        <x:v>155415</x:v>
      </x:c>
      <x:c r="D299" s="44" t="n">
        <x:f>IF(COUNT(B299:C299)=2,SUM(B299:C299),"")</x:f>
        <x:v>409242</x:v>
      </x:c>
      <x:c r="E299" s="44" t="n">
        <x:f>IF(COUNT('台北每日數據'!C299:D299)=2,'台北每日數據'!G299,"")</x:f>
        <x:v>1865</x:v>
      </x:c>
      <x:c r="F299" s="44" t="n">
        <x:f>IF(COUNT('新北每日數據'!C299:D299)=2,'新北每日數據'!G299,"")</x:f>
        <x:v>1148</x:v>
      </x:c>
      <x:c r="G299" s="44" t="n">
        <x:f>IF(COUNT(E299:F299)=2,SUM(E299:F299),"")</x:f>
        <x:v>3013</x:v>
      </x:c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43" t="n">
        <x:f>'台北每日數據'!A300</x:f>
        <x:v>46132</x:v>
      </x:c>
      <x:c r="B300" s="44" t="n">
        <x:f>IF(COUNT('台北每日數據'!C300:D300)=2,'台北每日數據'!B300,"")</x:f>
        <x:v>294729</x:v>
      </x:c>
      <x:c r="C300" s="44" t="n">
        <x:f>IF(COUNT('新北每日數據'!C300:D300)=2,'新北每日數據'!B300,"")</x:f>
        <x:v>151771</x:v>
      </x:c>
      <x:c r="D300" s="44" t="n">
        <x:f>IF(COUNT(B300:C300)=2,SUM(B300:C300),"")</x:f>
        <x:v>446500</x:v>
      </x:c>
      <x:c r="E300" s="44" t="n">
        <x:f>IF(COUNT('台北每日數據'!C300:D300)=2,'台北每日數據'!G300,"")</x:f>
        <x:v>1961</x:v>
      </x:c>
      <x:c r="F300" s="44" t="n">
        <x:f>IF(COUNT('新北每日數據'!C300:D300)=2,'新北每日數據'!G300,"")</x:f>
        <x:v>1022</x:v>
      </x:c>
      <x:c r="G300" s="44" t="n">
        <x:f>IF(COUNT(E300:F300)=2,SUM(E300:F300),"")</x:f>
        <x:v>2983</x:v>
      </x:c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43" t="n">
        <x:f>'台北每日數據'!A301</x:f>
        <x:v>46133</x:v>
      </x:c>
      <x:c r="B301" s="44" t="n">
        <x:f>IF(COUNT('台北每日數據'!C301:D301)=2,'台北每日數據'!B301,"")</x:f>
        <x:v>306458</x:v>
      </x:c>
      <x:c r="C301" s="44" t="n">
        <x:f>IF(COUNT('新北每日數據'!C301:D301)=2,'新北每日數據'!B301,"")</x:f>
        <x:v>155588</x:v>
      </x:c>
      <x:c r="D301" s="44" t="n">
        <x:f>IF(COUNT(B301:C301)=2,SUM(B301:C301),"")</x:f>
        <x:v>462046</x:v>
      </x:c>
      <x:c r="E301" s="44" t="n">
        <x:f>IF(COUNT('台北每日數據'!C301:D301)=2,'台北每日數據'!G301,"")</x:f>
        <x:v>2005</x:v>
      </x:c>
      <x:c r="F301" s="44" t="n">
        <x:f>IF(COUNT('新北每日數據'!C301:D301)=2,'新北每日數據'!G301,"")</x:f>
        <x:v>1036</x:v>
      </x:c>
      <x:c r="G301" s="44" t="n">
        <x:f>IF(COUNT(E301:F301)=2,SUM(E301:F301),"")</x:f>
        <x:v>3041</x:v>
      </x:c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43" t="n">
        <x:f>'台北每日數據'!A302</x:f>
        <x:v>46134</x:v>
      </x:c>
      <x:c r="B302" s="44" t="n">
        <x:f>IF(COUNT('台北每日數據'!C302:D302)=2,'台北每日數據'!B302,"")</x:f>
        <x:v>309028</x:v>
      </x:c>
      <x:c r="C302" s="44" t="n">
        <x:f>IF(COUNT('新北每日數據'!C302:D302)=2,'新北每日數據'!B302,"")</x:f>
        <x:v>160050</x:v>
      </x:c>
      <x:c r="D302" s="44" t="n">
        <x:f>IF(COUNT(B302:C302)=2,SUM(B302:C302),"")</x:f>
        <x:v>469078</x:v>
      </x:c>
      <x:c r="E302" s="44" t="n">
        <x:f>IF(COUNT('台北每日數據'!C302:D302)=2,'台北每日數據'!G302,"")</x:f>
        <x:v>1980</x:v>
      </x:c>
      <x:c r="F302" s="44" t="n">
        <x:f>IF(COUNT('新北每日數據'!C302:D302)=2,'新北每日數據'!G302,"")</x:f>
        <x:v>1129</x:v>
      </x:c>
      <x:c r="G302" s="44" t="n">
        <x:f>IF(COUNT(E302:F302)=2,SUM(E302:F302),"")</x:f>
        <x:v>3109</x:v>
      </x:c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43" t="n">
        <x:f>'台北每日數據'!A303</x:f>
        <x:v>46135</x:v>
      </x:c>
      <x:c r="B303" s="44" t="n">
        <x:f>IF(COUNT('台北每日數據'!C303:D303)=2,'台北每日數據'!B303,"")</x:f>
        <x:v>190640</x:v>
      </x:c>
      <x:c r="C303" s="44" t="n">
        <x:f>IF(COUNT('新北每日數據'!C303:D303)=2,'新北每日數據'!B303,"")</x:f>
        <x:v>99964</x:v>
      </x:c>
      <x:c r="D303" s="44" t="n">
        <x:f>IF(COUNT(B303:C303)=2,SUM(B303:C303),"")</x:f>
        <x:v>290604</x:v>
      </x:c>
      <x:c r="E303" s="44" t="n">
        <x:f>IF(COUNT('台北每日數據'!C303:D303)=2,'台北每日數據'!G303,"")</x:f>
        <x:v>1379</x:v>
      </x:c>
      <x:c r="F303" s="44" t="n">
        <x:f>IF(COUNT('新北每日數據'!C303:D303)=2,'新北每日數據'!G303,"")</x:f>
        <x:v>767</x:v>
      </x:c>
      <x:c r="G303" s="44" t="n">
        <x:f>IF(COUNT(E303:F303)=2,SUM(E303:F303),"")</x:f>
        <x:v>2146</x:v>
      </x:c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43" t="n">
        <x:f>'台北每日數據'!A304</x:f>
        <x:v>46136</x:v>
      </x:c>
      <x:c r="B304" s="44" t="n">
        <x:f>IF(COUNT('台北每日數據'!C304:D304)=2,'台北每日數據'!B304,"")</x:f>
        <x:v>136872</x:v>
      </x:c>
      <x:c r="C304" s="44" t="n">
        <x:f>IF(COUNT('新北每日數據'!C304:D304)=2,'新北每日數據'!B304,"")</x:f>
        <x:v>60414</x:v>
      </x:c>
      <x:c r="D304" s="44" t="n">
        <x:f>IF(COUNT(B304:C304)=2,SUM(B304:C304),"")</x:f>
        <x:v>197286</x:v>
      </x:c>
      <x:c r="E304" s="44" t="n">
        <x:f>IF(COUNT('台北每日數據'!C304:D304)=2,'台北每日數據'!G304,"")</x:f>
        <x:v>973</x:v>
      </x:c>
      <x:c r="F304" s="44" t="n">
        <x:f>IF(COUNT('新北每日數據'!C304:D304)=2,'新北每日數據'!G304,"")</x:f>
        <x:v>444</x:v>
      </x:c>
      <x:c r="G304" s="44" t="n">
        <x:f>IF(COUNT(E304:F304)=2,SUM(E304:F304),"")</x:f>
        <x:v>1417</x:v>
      </x:c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43" t="n">
        <x:f>'台北每日數據'!A305</x:f>
        <x:v>46137</x:v>
      </x:c>
      <x:c r="B305" s="44" t="n">
        <x:f>IF(COUNT('台北每日數據'!C305:D305)=2,'台北每日數據'!B305,"")</x:f>
        <x:v>170811</x:v>
      </x:c>
      <x:c r="C305" s="44" t="n">
        <x:f>IF(COUNT('新北每日數據'!C305:D305)=2,'新北每日數據'!B305,"")</x:f>
        <x:v>112301</x:v>
      </x:c>
      <x:c r="D305" s="44" t="n">
        <x:f>IF(COUNT(B305:C305)=2,SUM(B305:C305),"")</x:f>
        <x:v>283112</x:v>
      </x:c>
      <x:c r="E305" s="44" t="n">
        <x:f>IF(COUNT('台北每日數據'!C305:D305)=2,'台北每日數據'!G305,"")</x:f>
        <x:v>1392</x:v>
      </x:c>
      <x:c r="F305" s="44" t="n">
        <x:f>IF(COUNT('新北每日數據'!C305:D305)=2,'新北每日數據'!G305,"")</x:f>
        <x:v>792</x:v>
      </x:c>
      <x:c r="G305" s="44" t="n">
        <x:f>IF(COUNT(E305:F305)=2,SUM(E305:F305),"")</x:f>
        <x:v>2184</x:v>
      </x:c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43" t="n">
        <x:f>'台北每日數據'!A306</x:f>
        <x:v>46138</x:v>
      </x:c>
      <x:c r="B306" s="44" t="n">
        <x:f>IF(COUNT('台北每日數據'!C306:D306)=2,'台北每日數據'!B306,"")</x:f>
        <x:v>262066</x:v>
      </x:c>
      <x:c r="C306" s="44" t="n">
        <x:f>IF(COUNT('新北每日數據'!C306:D306)=2,'新北每日數據'!B306,"")</x:f>
        <x:v>161083</x:v>
      </x:c>
      <x:c r="D306" s="44" t="n">
        <x:f>IF(COUNT(B306:C306)=2,SUM(B306:C306),"")</x:f>
        <x:v>423149</x:v>
      </x:c>
      <x:c r="E306" s="44" t="n">
        <x:f>IF(COUNT('台北每日數據'!C306:D306)=2,'台北每日數據'!G306,"")</x:f>
        <x:v>2266</x:v>
      </x:c>
      <x:c r="F306" s="44" t="n">
        <x:f>IF(COUNT('新北每日數據'!C306:D306)=2,'新北每日數據'!G306,"")</x:f>
        <x:v>1240</x:v>
      </x:c>
      <x:c r="G306" s="44" t="n">
        <x:f>IF(COUNT(E306:F306)=2,SUM(E306:F306),"")</x:f>
        <x:v>3506</x:v>
      </x:c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43" t="n">
        <x:f>'台北每日數據'!A307</x:f>
        <x:v>46139</x:v>
      </x:c>
      <x:c r="B307" s="44" t="n">
        <x:f>IF(COUNT('台北每日數據'!C307:D307)=2,'台北每日數據'!B307,"")</x:f>
        <x:v>304022</x:v>
      </x:c>
      <x:c r="C307" s="44" t="n">
        <x:f>IF(COUNT('新北每日數據'!C307:D307)=2,'新北每日數據'!B307,"")</x:f>
        <x:v>154092</x:v>
      </x:c>
      <x:c r="D307" s="44" t="n">
        <x:f>IF(COUNT(B307:C307)=2,SUM(B307:C307),"")</x:f>
        <x:v>458114</x:v>
      </x:c>
      <x:c r="E307" s="44" t="n">
        <x:f>IF(COUNT('台北每日數據'!C307:D307)=2,'台北每日數據'!G307,"")</x:f>
        <x:v>2402</x:v>
      </x:c>
      <x:c r="F307" s="44" t="n">
        <x:f>IF(COUNT('新北每日數據'!C307:D307)=2,'新北每日數據'!G307,"")</x:f>
        <x:v>1211</x:v>
      </x:c>
      <x:c r="G307" s="44" t="n">
        <x:f>IF(COUNT(E307:F307)=2,SUM(E307:F307),"")</x:f>
        <x:v>3613</x:v>
      </x:c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43" t="n">
        <x:f>'台北每日數據'!A308</x:f>
        <x:v>46140</x:v>
      </x:c>
      <x:c r="B308" s="44" t="n">
        <x:f>IF(COUNT('台北每日數據'!C308:D308)=2,'台北每日數據'!B308,"")</x:f>
        <x:v>315765</x:v>
      </x:c>
      <x:c r="C308" s="44" t="n">
        <x:f>IF(COUNT('新北每日數據'!C308:D308)=2,'新北每日數據'!B308,"")</x:f>
        <x:v>159479</x:v>
      </x:c>
      <x:c r="D308" s="44" t="n">
        <x:f>IF(COUNT(B308:C308)=2,SUM(B308:C308),"")</x:f>
        <x:v>475244</x:v>
      </x:c>
      <x:c r="E308" s="44" t="n">
        <x:f>IF(COUNT('台北每日數據'!C308:D308)=2,'台北每日數據'!G308,"")</x:f>
        <x:v>2696</x:v>
      </x:c>
      <x:c r="F308" s="44" t="n">
        <x:f>IF(COUNT('新北每日數據'!C308:D308)=2,'新北每日數據'!G308,"")</x:f>
        <x:v>1443</x:v>
      </x:c>
      <x:c r="G308" s="44" t="n">
        <x:f>IF(COUNT(E308:F308)=2,SUM(E308:F308),"")</x:f>
        <x:v>4139</x:v>
      </x:c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43" t="n">
        <x:f>'台北每日數據'!A309</x:f>
        <x:v>46141</x:v>
      </x:c>
      <x:c r="B309" s="44" t="n">
        <x:f>IF(COUNT('台北每日數據'!C309:D309)=2,'台北每日數據'!B309,"")</x:f>
        <x:v>256874</x:v>
      </x:c>
      <x:c r="C309" s="44" t="n">
        <x:f>IF(COUNT('新北每日數據'!C309:D309)=2,'新北每日數據'!B309,"")</x:f>
        <x:v>125583</x:v>
      </x:c>
      <x:c r="D309" s="44" t="n">
        <x:f>IF(COUNT(B309:C309)=2,SUM(B309:C309),"")</x:f>
        <x:v>382457</x:v>
      </x:c>
      <x:c r="E309" s="44" t="n">
        <x:f>IF(COUNT('台北每日數據'!C309:D309)=2,'台北每日數據'!G309,"")</x:f>
        <x:v>2413</x:v>
      </x:c>
      <x:c r="F309" s="44" t="n">
        <x:f>IF(COUNT('新北每日數據'!C309:D309)=2,'新北每日數據'!G309,"")</x:f>
        <x:v>1230</x:v>
      </x:c>
      <x:c r="G309" s="44" t="n">
        <x:f>IF(COUNT(E309:F309)=2,SUM(E309:F309),"")</x:f>
        <x:v>3643</x:v>
      </x:c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43" t="n">
        <x:f>'台北每日數據'!A310</x:f>
        <x:v>46142</x:v>
      </x:c>
      <x:c r="B310" s="44" t="n">
        <x:f>IF(COUNT('台北每日數據'!C310:D310)=2,'台北每日數據'!B310,"")</x:f>
        <x:v>188514</x:v>
      </x:c>
      <x:c r="C310" s="44" t="n">
        <x:f>IF(COUNT('新北每日數據'!C310:D310)=2,'新北每日數據'!B310,"")</x:f>
        <x:v>67507</x:v>
      </x:c>
      <x:c r="D310" s="44" t="n">
        <x:f>IF(COUNT(B310:C310)=2,SUM(B310:C310),"")</x:f>
        <x:v>256021</x:v>
      </x:c>
      <x:c r="E310" s="44" t="n">
        <x:f>IF(COUNT('台北每日數據'!C310:D310)=2,'台北每日數據'!G310,"")</x:f>
        <x:v>1963</x:v>
      </x:c>
      <x:c r="F310" s="44" t="n">
        <x:f>IF(COUNT('新北每日數據'!C310:D310)=2,'新北每日數據'!G310,"")</x:f>
        <x:v>545</x:v>
      </x:c>
      <x:c r="G310" s="44" t="n">
        <x:f>IF(COUNT(E310:F310)=2,SUM(E310:F310),"")</x:f>
        <x:v>2508</x:v>
      </x:c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43" t="n">
        <x:f>'台北每日數據'!A311</x:f>
        <x:v>46143</x:v>
      </x:c>
      <x:c r="B311" s="44" t="n">
        <x:f>IF(COUNT('台北每日數據'!C311:D311)=2,'台北每日數據'!B311,"")</x:f>
        <x:v>244079</x:v>
      </x:c>
      <x:c r="C311" s="44" t="n">
        <x:f>IF(COUNT('新北每日數據'!C311:D311)=2,'新北每日數據'!B311,"")</x:f>
        <x:v>154708</x:v>
      </x:c>
      <x:c r="D311" s="44" t="n">
        <x:f>IF(COUNT(B311:C311)=2,SUM(B311:C311),"")</x:f>
        <x:v>398787</x:v>
      </x:c>
      <x:c r="E311" s="44" t="n">
        <x:f>IF(COUNT('台北每日數據'!C311:D311)=2,'台北每日數據'!G311,"")</x:f>
        <x:v>1750</x:v>
      </x:c>
      <x:c r="F311" s="44" t="n">
        <x:f>IF(COUNT('新北每日數據'!C311:D311)=2,'新北每日數據'!G311,"")</x:f>
        <x:v>1072</x:v>
      </x:c>
      <x:c r="G311" s="44" t="n">
        <x:f>IF(COUNT(E311:F311)=2,SUM(E311:F311),"")</x:f>
        <x:v>2822</x:v>
      </x:c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43" t="n">
        <x:f>'台北每日數據'!A312</x:f>
        <x:v>46144</x:v>
      </x:c>
      <x:c r="B312" s="44" t="n">
        <x:f>IF(COUNT('台北每日數據'!C312:D312)=2,'台北每日數據'!B312,"")</x:f>
        <x:v>255596</x:v>
      </x:c>
      <x:c r="C312" s="44" t="n">
        <x:f>IF(COUNT('新北每日數據'!C312:D312)=2,'新北每日數據'!B312,"")</x:f>
        <x:v>160978</x:v>
      </x:c>
      <x:c r="D312" s="44" t="n">
        <x:f>IF(COUNT(B312:C312)=2,SUM(B312:C312),"")</x:f>
        <x:v>416574</x:v>
      </x:c>
      <x:c r="E312" s="44" t="n">
        <x:f>IF(COUNT('台北每日數據'!C312:D312)=2,'台北每日數據'!G312,"")</x:f>
        <x:v>1867</x:v>
      </x:c>
      <x:c r="F312" s="44" t="n">
        <x:f>IF(COUNT('新北每日數據'!C312:D312)=2,'新北每日數據'!G312,"")</x:f>
        <x:v>1165</x:v>
      </x:c>
      <x:c r="G312" s="44" t="n">
        <x:f>IF(COUNT(E312:F312)=2,SUM(E312:F312),"")</x:f>
        <x:v>3032</x:v>
      </x:c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43" t="n">
        <x:f>'台北每日數據'!A313</x:f>
        <x:v>46145</x:v>
      </x:c>
      <x:c r="B313" s="44" t="n">
        <x:f>IF(COUNT('台北每日數據'!C313:D313)=2,'台北每日數據'!B313,"")</x:f>
        <x:v>240733</x:v>
      </x:c>
      <x:c r="C313" s="44" t="n">
        <x:f>IF(COUNT('新北每日數據'!C313:D313)=2,'新北每日數據'!B313,"")</x:f>
        <x:v>149572</x:v>
      </x:c>
      <x:c r="D313" s="44" t="n">
        <x:f>IF(COUNT(B313:C313)=2,SUM(B313:C313),"")</x:f>
        <x:v>390305</x:v>
      </x:c>
      <x:c r="E313" s="44" t="n">
        <x:f>IF(COUNT('台北每日數據'!C313:D313)=2,'台北每日數據'!G313,"")</x:f>
        <x:v>1672</x:v>
      </x:c>
      <x:c r="F313" s="44" t="n">
        <x:f>IF(COUNT('新北每日數據'!C313:D313)=2,'新北每日數據'!G313,"")</x:f>
        <x:v>1161</x:v>
      </x:c>
      <x:c r="G313" s="44" t="n">
        <x:f>IF(COUNT(E313:F313)=2,SUM(E313:F313),"")</x:f>
        <x:v>2833</x:v>
      </x:c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43" t="n">
        <x:f>'台北每日數據'!A314</x:f>
        <x:v>46146</x:v>
      </x:c>
      <x:c r="B314" s="44" t="n">
        <x:f>IF(COUNT('台北每日數據'!C314:D314)=2,'台北每日數據'!B314,"")</x:f>
        <x:v>179100</x:v>
      </x:c>
      <x:c r="C314" s="44" t="n">
        <x:f>IF(COUNT('新北每日數據'!C314:D314)=2,'新北每日數據'!B314,"")</x:f>
        <x:v>88194</x:v>
      </x:c>
      <x:c r="D314" s="44" t="n">
        <x:f>IF(COUNT(B314:C314)=2,SUM(B314:C314),"")</x:f>
        <x:v>267294</x:v>
      </x:c>
      <x:c r="E314" s="44" t="n">
        <x:f>IF(COUNT('台北每日數據'!C314:D314)=2,'台北每日數據'!G314,"")</x:f>
        <x:v>1174</x:v>
      </x:c>
      <x:c r="F314" s="44" t="n">
        <x:f>IF(COUNT('新北每日數據'!C314:D314)=2,'新北每日數據'!G314,"")</x:f>
        <x:v>694</x:v>
      </x:c>
      <x:c r="G314" s="44" t="n">
        <x:f>IF(COUNT(E314:F314)=2,SUM(E314:F314),"")</x:f>
        <x:v>1868</x:v>
      </x:c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43" t="n">
        <x:f>'台北每日數據'!A315</x:f>
        <x:v>46147</x:v>
      </x:c>
      <x:c r="B315" s="44" t="n">
        <x:f>IF(COUNT('台北每日數據'!C315:D315)=2,'台北每日數據'!B315,"")</x:f>
        <x:v>63414</x:v>
      </x:c>
      <x:c r="C315" s="44" t="n">
        <x:f>IF(COUNT('新北每日數據'!C315:D315)=2,'新北每日數據'!B315,"")</x:f>
        <x:v>37022</x:v>
      </x:c>
      <x:c r="D315" s="44" t="n">
        <x:f>IF(COUNT(B315:C315)=2,SUM(B315:C315),"")</x:f>
        <x:v>100436</x:v>
      </x:c>
      <x:c r="E315" s="44" t="n">
        <x:f>IF(COUNT('台北每日數據'!C315:D315)=2,'台北每日數據'!G315,"")</x:f>
        <x:v>423</x:v>
      </x:c>
      <x:c r="F315" s="44" t="n">
        <x:f>IF(COUNT('新北每日數據'!C315:D315)=2,'新北每日數據'!G315,"")</x:f>
        <x:v>288</x:v>
      </x:c>
      <x:c r="G315" s="44" t="n">
        <x:f>IF(COUNT(E315:F315)=2,SUM(E315:F315),"")</x:f>
        <x:v>711</x:v>
      </x:c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43" t="n">
        <x:f>'台北每日數據'!A316</x:f>
        <x:v>46148</x:v>
      </x:c>
      <x:c r="B316" s="44" t="n">
        <x:f>IF(COUNT('台北每日數據'!C316:D316)=2,'台北每日數據'!B316,"")</x:f>
        <x:v>318830</x:v>
      </x:c>
      <x:c r="C316" s="44" t="n">
        <x:f>IF(COUNT('新北每日數據'!C316:D316)=2,'新北每日數據'!B316,"")</x:f>
        <x:v>157047</x:v>
      </x:c>
      <x:c r="D316" s="44" t="n">
        <x:f>IF(COUNT(B316:C316)=2,SUM(B316:C316),"")</x:f>
        <x:v>475877</x:v>
      </x:c>
      <x:c r="E316" s="44" t="n">
        <x:f>IF(COUNT('台北每日數據'!C316:D316)=2,'台北每日數據'!G316,"")</x:f>
        <x:v>2197</x:v>
      </x:c>
      <x:c r="F316" s="44" t="n">
        <x:f>IF(COUNT('新北每日數據'!C316:D316)=2,'新北每日數據'!G316,"")</x:f>
        <x:v>1099</x:v>
      </x:c>
      <x:c r="G316" s="44" t="n">
        <x:f>IF(COUNT(E316:F316)=2,SUM(E316:F316),"")</x:f>
        <x:v>3296</x:v>
      </x:c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43" t="n">
        <x:f>'台北每日數據'!A317</x:f>
        <x:v>46149</x:v>
      </x:c>
      <x:c r="B317" s="44" t="n">
        <x:f>IF(COUNT('台北每日數據'!C317:D317)=2,'台北每日數據'!B317,"")</x:f>
        <x:v>294989</x:v>
      </x:c>
      <x:c r="C317" s="44" t="n">
        <x:f>IF(COUNT('新北每日數據'!C317:D317)=2,'新北每日數據'!B317,"")</x:f>
        <x:v>156426</x:v>
      </x:c>
      <x:c r="D317" s="44" t="n">
        <x:f>IF(COUNT(B317:C317)=2,SUM(B317:C317),"")</x:f>
        <x:v>451415</x:v>
      </x:c>
      <x:c r="E317" s="44" t="n">
        <x:f>IF(COUNT('台北每日數據'!C317:D317)=2,'台北每日數據'!G317,"")</x:f>
        <x:v>1941</x:v>
      </x:c>
      <x:c r="F317" s="44" t="n">
        <x:f>IF(COUNT('新北每日數據'!C317:D317)=2,'新北每日數據'!G317,"")</x:f>
        <x:v>1066</x:v>
      </x:c>
      <x:c r="G317" s="44" t="n">
        <x:f>IF(COUNT(E317:F317)=2,SUM(E317:F317),"")</x:f>
        <x:v>3007</x:v>
      </x:c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43" t="n">
        <x:f>'台北每日數據'!A318</x:f>
        <x:v>46150</x:v>
      </x:c>
      <x:c r="B318" s="44" t="n">
        <x:f>IF(COUNT('台北每日數據'!C318:D318)=2,'台北每日數據'!B318,"")</x:f>
        <x:v>299665</x:v>
      </x:c>
      <x:c r="C318" s="44" t="n">
        <x:f>IF(COUNT('新北每日數據'!C318:D318)=2,'新北每日數據'!B318,"")</x:f>
        <x:v>152128</x:v>
      </x:c>
      <x:c r="D318" s="44" t="n">
        <x:f>IF(COUNT(B318:C318)=2,SUM(B318:C318),"")</x:f>
        <x:v>451793</x:v>
      </x:c>
      <x:c r="E318" s="44" t="n">
        <x:f>IF(COUNT('台北每日數據'!C318:D318)=2,'台北每日數據'!G318,"")</x:f>
        <x:v>1895</x:v>
      </x:c>
      <x:c r="F318" s="44" t="n">
        <x:f>IF(COUNT('新北每日數據'!C318:D318)=2,'新北每日數據'!G318,"")</x:f>
        <x:v>992</x:v>
      </x:c>
      <x:c r="G318" s="44" t="n">
        <x:f>IF(COUNT(E318:F318)=2,SUM(E318:F318),"")</x:f>
        <x:v>2887</x:v>
      </x:c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43" t="n">
        <x:f>'台北每日數據'!A319</x:f>
        <x:v>46151</x:v>
      </x:c>
      <x:c r="B319" s="44" t="n">
        <x:f>IF(COUNT('台北每日數據'!C319:D319)=2,'台北每日數據'!B319,"")</x:f>
        <x:v>191757</x:v>
      </x:c>
      <x:c r="C319" s="44" t="n">
        <x:f>IF(COUNT('新北每日數據'!C319:D319)=2,'新北每日數據'!B319,"")</x:f>
        <x:v>131005</x:v>
      </x:c>
      <x:c r="D319" s="44" t="n">
        <x:f>IF(COUNT(B319:C319)=2,SUM(B319:C319),"")</x:f>
        <x:v>322762</x:v>
      </x:c>
      <x:c r="E319" s="44" t="n">
        <x:f>IF(COUNT('台北每日數據'!C319:D319)=2,'台北每日數據'!G319,"")</x:f>
        <x:v>1306</x:v>
      </x:c>
      <x:c r="F319" s="44" t="n">
        <x:f>IF(COUNT('新北每日數據'!C319:D319)=2,'新北每日數據'!G319,"")</x:f>
        <x:v>888</x:v>
      </x:c>
      <x:c r="G319" s="44" t="n">
        <x:f>IF(COUNT(E319:F319)=2,SUM(E319:F319),"")</x:f>
        <x:v>2194</x:v>
      </x:c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43" t="n">
        <x:f>'台北每日數據'!A320</x:f>
        <x:v>46152</x:v>
      </x:c>
      <x:c r="B320" s="44" t="n">
        <x:f>IF(COUNT('台北每日數據'!C320:D320)=2,'台北每日數據'!B320,"")</x:f>
        <x:v>222901</x:v>
      </x:c>
      <x:c r="C320" s="44" t="n">
        <x:f>IF(COUNT('新北每日數據'!C320:D320)=2,'新北每日數據'!B320,"")</x:f>
        <x:v>137945</x:v>
      </x:c>
      <x:c r="D320" s="44" t="n">
        <x:f>IF(COUNT(B320:C320)=2,SUM(B320:C320),"")</x:f>
        <x:v>360846</x:v>
      </x:c>
      <x:c r="E320" s="44" t="n">
        <x:f>IF(COUNT('台北每日數據'!C320:D320)=2,'台北每日數據'!G320,"")</x:f>
        <x:v>1682</x:v>
      </x:c>
      <x:c r="F320" s="44" t="n">
        <x:f>IF(COUNT('新北每日數據'!C320:D320)=2,'新北每日數據'!G320,"")</x:f>
        <x:v>1022</x:v>
      </x:c>
      <x:c r="G320" s="44" t="n">
        <x:f>IF(COUNT(E320:F320)=2,SUM(E320:F320),"")</x:f>
        <x:v>2704</x:v>
      </x:c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43" t="n">
        <x:f>'台北每日數據'!A321</x:f>
        <x:v>46153</x:v>
      </x:c>
      <x:c r="B321" s="44" t="n">
        <x:f>IF(COUNT('台北每日數據'!C321:D321)=2,'台北每日數據'!B321,"")</x:f>
        <x:v>299178</x:v>
      </x:c>
      <x:c r="C321" s="44" t="n">
        <x:f>IF(COUNT('新北每日數據'!C321:D321)=2,'新北每日數據'!B321,"")</x:f>
        <x:v>151959</x:v>
      </x:c>
      <x:c r="D321" s="44" t="n">
        <x:f>IF(COUNT(B321:C321)=2,SUM(B321:C321),"")</x:f>
        <x:v>451137</x:v>
      </x:c>
      <x:c r="E321" s="44" t="n">
        <x:f>IF(COUNT('台北每日數據'!C321:D321)=2,'台北每日數據'!G321,"")</x:f>
        <x:v>1900</x:v>
      </x:c>
      <x:c r="F321" s="44" t="n">
        <x:f>IF(COUNT('新北每日數據'!C321:D321)=2,'新北每日數據'!G321,"")</x:f>
        <x:v>1083</x:v>
      </x:c>
      <x:c r="G321" s="44" t="n">
        <x:f>IF(COUNT(E321:F321)=2,SUM(E321:F321),"")</x:f>
        <x:v>2983</x:v>
      </x:c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43" t="n">
        <x:f>'台北每日數據'!A322</x:f>
        <x:v>46154</x:v>
      </x:c>
      <x:c r="B322" s="44" t="n">
        <x:f>IF(COUNT('台北每日數據'!C322:D322)=2,'台北每日數據'!B322,"")</x:f>
        <x:v>314022</x:v>
      </x:c>
      <x:c r="C322" s="44" t="n">
        <x:f>IF(COUNT('新北每日數據'!C322:D322)=2,'新北每日數據'!B322,"")</x:f>
        <x:v>161243</x:v>
      </x:c>
      <x:c r="D322" s="44" t="n">
        <x:f>IF(COUNT(B322:C322)=2,SUM(B322:C322),"")</x:f>
        <x:v>475265</x:v>
      </x:c>
      <x:c r="E322" s="44" t="n">
        <x:f>IF(COUNT('台北每日數據'!C322:D322)=2,'台北每日數據'!G322,"")</x:f>
        <x:v>2141</x:v>
      </x:c>
      <x:c r="F322" s="44" t="n">
        <x:f>IF(COUNT('新北每日數據'!C322:D322)=2,'新北每日數據'!G322,"")</x:f>
        <x:v>1238</x:v>
      </x:c>
      <x:c r="G322" s="44" t="n">
        <x:f>IF(COUNT(E322:F322)=2,SUM(E322:F322),"")</x:f>
        <x:v>3379</x:v>
      </x:c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43" t="n">
        <x:f>'台北每日數據'!A323</x:f>
        <x:v>46155</x:v>
      </x:c>
      <x:c r="B323" s="44" t="n">
        <x:f>IF(COUNT('台北每日數據'!C323:D323)=2,'台北每日數據'!B323,"")</x:f>
        <x:v>156893</x:v>
      </x:c>
      <x:c r="C323" s="44" t="n">
        <x:f>IF(COUNT('新北每日數據'!C323:D323)=2,'新北每日數據'!B323,"")</x:f>
        <x:v>82309</x:v>
      </x:c>
      <x:c r="D323" s="44" t="n">
        <x:f>IF(COUNT(B323:C323)=2,SUM(B323:C323),"")</x:f>
        <x:v>239202</x:v>
      </x:c>
      <x:c r="E323" s="44" t="n">
        <x:f>IF(COUNT('台北每日數據'!C323:D323)=2,'台北每日數據'!G323,"")</x:f>
        <x:v>1203</x:v>
      </x:c>
      <x:c r="F323" s="44" t="n">
        <x:f>IF(COUNT('新北每日數據'!C323:D323)=2,'新北每日數據'!G323,"")</x:f>
        <x:v>701</x:v>
      </x:c>
      <x:c r="G323" s="44" t="n">
        <x:f>IF(COUNT(E323:F323)=2,SUM(E323:F323),"")</x:f>
        <x:v>1904</x:v>
      </x:c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43" t="n">
        <x:f>'台北每日數據'!A324</x:f>
        <x:v>46156</x:v>
      </x:c>
      <x:c r="B324" s="44" t="n">
        <x:f>IF(COUNT('台北每日數據'!C324:D324)=2,'台北每日數據'!B324,"")</x:f>
        <x:v>215859</x:v>
      </x:c>
      <x:c r="C324" s="44" t="n">
        <x:f>IF(COUNT('新北每日數據'!C324:D324)=2,'新北每日數據'!B324,"")</x:f>
        <x:v>113795</x:v>
      </x:c>
      <x:c r="D324" s="44" t="n">
        <x:f>IF(COUNT(B324:C324)=2,SUM(B324:C324),"")</x:f>
        <x:v>329654</x:v>
      </x:c>
      <x:c r="E324" s="44" t="n">
        <x:f>IF(COUNT('台北每日數據'!C324:D324)=2,'台北每日數據'!G324,"")</x:f>
        <x:v>1163</x:v>
      </x:c>
      <x:c r="F324" s="44" t="n">
        <x:f>IF(COUNT('新北每日數據'!C324:D324)=2,'新北每日數據'!G324,"")</x:f>
        <x:v>589</x:v>
      </x:c>
      <x:c r="G324" s="44" t="n">
        <x:f>IF(COUNT(E324:F324)=2,SUM(E324:F324),"")</x:f>
        <x:v>1752</x:v>
      </x:c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43" t="n">
        <x:f>'台北每日數據'!A325</x:f>
        <x:v>46157</x:v>
      </x:c>
      <x:c r="B325" s="44" t="n">
        <x:f>IF(COUNT('台北每日數據'!C325:D325)=2,'台北每日數據'!B325,"")</x:f>
        <x:v>334749</x:v>
      </x:c>
      <x:c r="C325" s="44" t="n">
        <x:f>IF(COUNT('新北每日數據'!C325:D325)=2,'新北每日數據'!B325,"")</x:f>
        <x:v>180623</x:v>
      </x:c>
      <x:c r="D325" s="44" t="n">
        <x:f>IF(COUNT(B325:C325)=2,SUM(B325:C325),"")</x:f>
        <x:v>515372</x:v>
      </x:c>
      <x:c r="E325" s="44" t="n">
        <x:f>IF(COUNT('台北每日數據'!C325:D325)=2,'台北每日數據'!G325,"")</x:f>
        <x:v>2262</x:v>
      </x:c>
      <x:c r="F325" s="44" t="n">
        <x:f>IF(COUNT('新北每日數據'!C325:D325)=2,'新北每日數據'!G325,"")</x:f>
        <x:v>1177</x:v>
      </x:c>
      <x:c r="G325" s="44" t="n">
        <x:f>IF(COUNT(E325:F325)=2,SUM(E325:F325),"")</x:f>
        <x:v>3439</x:v>
      </x:c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43" t="n">
        <x:f>'台北每日數據'!A326</x:f>
        <x:v>46158</x:v>
      </x:c>
      <x:c r="B326" s="44" t="n">
        <x:f>IF(COUNT('台北每日數據'!C326:D326)=2,'台北每日數據'!B326,"")</x:f>
        <x:v>282538</x:v>
      </x:c>
      <x:c r="C326" s="44" t="n">
        <x:f>IF(COUNT('新北每日數據'!C326:D326)=2,'新北每日數據'!B326,"")</x:f>
        <x:v>177150</x:v>
      </x:c>
      <x:c r="D326" s="44" t="n">
        <x:f>IF(COUNT(B326:C326)=2,SUM(B326:C326),"")</x:f>
        <x:v>459688</x:v>
      </x:c>
      <x:c r="E326" s="44" t="n">
        <x:f>IF(COUNT('台北每日數據'!C326:D326)=2,'台北每日數據'!G326,"")</x:f>
        <x:v>2009</x:v>
      </x:c>
      <x:c r="F326" s="44" t="n">
        <x:f>IF(COUNT('新北每日數據'!C326:D326)=2,'新北每日數據'!G326,"")</x:f>
        <x:v>1262</x:v>
      </x:c>
      <x:c r="G326" s="44" t="n">
        <x:f>IF(COUNT(E326:F326)=2,SUM(E326:F326),"")</x:f>
        <x:v>3271</x:v>
      </x:c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43" t="n">
        <x:f>'台北每日數據'!A327</x:f>
        <x:v>46159</x:v>
      </x:c>
      <x:c r="B327" s="44" t="n">
        <x:f>IF(COUNT('台北每日數據'!C327:D327)=2,'台北每日數據'!B327,"")</x:f>
        <x:v>260205</x:v>
      </x:c>
      <x:c r="C327" s="44" t="n">
        <x:f>IF(COUNT('新北每日數據'!C327:D327)=2,'新北每日數據'!B327,"")</x:f>
        <x:v>166011</x:v>
      </x:c>
      <x:c r="D327" s="44" t="n">
        <x:f>IF(COUNT(B327:C327)=2,SUM(B327:C327),"")</x:f>
        <x:v>426216</x:v>
      </x:c>
      <x:c r="E327" s="44" t="n">
        <x:f>IF(COUNT('台北每日數據'!C327:D327)=2,'台北每日數據'!G327,"")</x:f>
        <x:v>1836</x:v>
      </x:c>
      <x:c r="F327" s="44" t="n">
        <x:f>IF(COUNT('新北每日數據'!C327:D327)=2,'新北每日數據'!G327,"")</x:f>
        <x:v>1115</x:v>
      </x:c>
      <x:c r="G327" s="44" t="n">
        <x:f>IF(COUNT(E327:F327)=2,SUM(E327:F327),"")</x:f>
        <x:v>2951</x:v>
      </x:c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43" t="n">
        <x:f>'台北每日數據'!A328</x:f>
        <x:v>46160</x:v>
      </x:c>
      <x:c r="B328" s="44" t="n">
        <x:f>IF(COUNT('台北每日數據'!C328:D328)=2,'台北每日數據'!B328,"")</x:f>
        <x:v>300723</x:v>
      </x:c>
      <x:c r="C328" s="44" t="n">
        <x:f>IF(COUNT('新北每日數據'!C328:D328)=2,'新北每日數據'!B328,"")</x:f>
        <x:v>157160</x:v>
      </x:c>
      <x:c r="D328" s="44" t="n">
        <x:f>IF(COUNT(B328:C328)=2,SUM(B328:C328),"")</x:f>
        <x:v>457883</x:v>
      </x:c>
      <x:c r="E328" s="44" t="n">
        <x:f>IF(COUNT('台北每日數據'!C328:D328)=2,'台北每日數據'!G328,"")</x:f>
        <x:v>1852</x:v>
      </x:c>
      <x:c r="F328" s="44" t="n">
        <x:f>IF(COUNT('新北每日數據'!C328:D328)=2,'新北每日數據'!G328,"")</x:f>
        <x:v>1114</x:v>
      </x:c>
      <x:c r="G328" s="44" t="n">
        <x:f>IF(COUNT(E328:F328)=2,SUM(E328:F328),"")</x:f>
        <x:v>2966</x:v>
      </x:c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43" t="n">
        <x:f>'台北每日數據'!A329</x:f>
        <x:v>46161</x:v>
      </x:c>
      <x:c r="B329" s="44" t="n">
        <x:f>IF(COUNT('台北每日數據'!C329:D329)=2,'台北每日數據'!B329,"")</x:f>
        <x:v>310627</x:v>
      </x:c>
      <x:c r="C329" s="44" t="n">
        <x:f>IF(COUNT('新北每日數據'!C329:D329)=2,'新北每日數據'!B329,"")</x:f>
        <x:v>161736</x:v>
      </x:c>
      <x:c r="D329" s="44" t="n">
        <x:f>IF(COUNT(B329:C329)=2,SUM(B329:C329),"")</x:f>
        <x:v>472363</x:v>
      </x:c>
      <x:c r="E329" s="44" t="n">
        <x:f>IF(COUNT('台北每日數據'!C329:D329)=2,'台北每日數據'!G329,"")</x:f>
        <x:v>1981</x:v>
      </x:c>
      <x:c r="F329" s="44" t="n">
        <x:f>IF(COUNT('新北每日數據'!C329:D329)=2,'新北每日數據'!G329,"")</x:f>
        <x:v>1260</x:v>
      </x:c>
      <x:c r="G329" s="44" t="n">
        <x:f>IF(COUNT(E329:F329)=2,SUM(E329:F329),"")</x:f>
        <x:v>3241</x:v>
      </x:c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43" t="n">
        <x:f>'台北每日數據'!A330</x:f>
        <x:v>46162</x:v>
      </x:c>
      <x:c r="B330" s="44" t="n">
        <x:f>IF(COUNT('台北每日數據'!C330:D330)=2,'台北每日數據'!B330,"")</x:f>
        <x:v>310537</x:v>
      </x:c>
      <x:c r="C330" s="44" t="n">
        <x:f>IF(COUNT('新北每日數據'!C330:D330)=2,'新北每日數據'!B330,"")</x:f>
        <x:v>161758</x:v>
      </x:c>
      <x:c r="D330" s="44" t="n">
        <x:f>IF(COUNT(B330:C330)=2,SUM(B330:C330),"")</x:f>
        <x:v>472295</x:v>
      </x:c>
      <x:c r="E330" s="44" t="n">
        <x:f>IF(COUNT('台北每日數據'!C330:D330)=2,'台北每日數據'!G330,"")</x:f>
        <x:v>2087</x:v>
      </x:c>
      <x:c r="F330" s="44" t="n">
        <x:f>IF(COUNT('新北每日數據'!C330:D330)=2,'新北每日數據'!G330,"")</x:f>
        <x:v>1148</x:v>
      </x:c>
      <x:c r="G330" s="44" t="n">
        <x:f>IF(COUNT(E330:F330)=2,SUM(E330:F330),"")</x:f>
        <x:v>3235</x:v>
      </x:c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43" t="n">
        <x:f>'台北每日數據'!A331</x:f>
        <x:v>46163</x:v>
      </x:c>
      <x:c r="B331" s="44" t="n">
        <x:f>IF(COUNT('台北每日數據'!C331:D331)=2,'台北每日數據'!B331,"")</x:f>
        <x:v>294941</x:v>
      </x:c>
      <x:c r="C331" s="44" t="n">
        <x:f>IF(COUNT('新北每日數據'!C331:D331)=2,'新北每日數據'!B331,"")</x:f>
        <x:v>157084</x:v>
      </x:c>
      <x:c r="D331" s="44" t="n">
        <x:f>IF(COUNT(B331:C331)=2,SUM(B331:C331),"")</x:f>
        <x:v>452025</x:v>
      </x:c>
      <x:c r="E331" s="44" t="n">
        <x:f>IF(COUNT('台北每日數據'!C331:D331)=2,'台北每日數據'!G331,"")</x:f>
        <x:v>2097</x:v>
      </x:c>
      <x:c r="F331" s="44" t="n">
        <x:f>IF(COUNT('新北每日數據'!C331:D331)=2,'新北每日數據'!G331,"")</x:f>
        <x:v>1106</x:v>
      </x:c>
      <x:c r="G331" s="44" t="n">
        <x:f>IF(COUNT(E331:F331)=2,SUM(E331:F331),"")</x:f>
        <x:v>3203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43" t="n">
        <x:f>'台北每日數據'!A332</x:f>
        <x:v>46164</x:v>
      </x:c>
      <x:c r="B332" s="44" t="n">
        <x:f>IF(COUNT('台北每日數據'!C332:D332)=2,'台北每日數據'!B332,"")</x:f>
        <x:v>322412</x:v>
      </x:c>
      <x:c r="C332" s="44" t="n">
        <x:f>IF(COUNT('新北每日數據'!C332:D332)=2,'新北每日數據'!B332,"")</x:f>
        <x:v>170448</x:v>
      </x:c>
      <x:c r="D332" s="44" t="n">
        <x:f>IF(COUNT(B332:C332)=2,SUM(B332:C332),"")</x:f>
        <x:v>492860</x:v>
      </x:c>
      <x:c r="E332" s="44" t="n">
        <x:f>IF(COUNT('台北每日數據'!C332:D332)=2,'台北每日數據'!G332,"")</x:f>
        <x:v>2213</x:v>
      </x:c>
      <x:c r="F332" s="44" t="n">
        <x:f>IF(COUNT('新北每日數據'!C332:D332)=2,'新北每日數據'!G332,"")</x:f>
        <x:v>1193</x:v>
      </x:c>
      <x:c r="G332" s="44" t="n">
        <x:f>IF(COUNT(E332:F332)=2,SUM(E332:F332),"")</x:f>
        <x:v>3406</x:v>
      </x:c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43" t="n">
        <x:f>'台北每日數據'!A333</x:f>
        <x:v>46165</x:v>
      </x:c>
      <x:c r="B333" s="44" t="n">
        <x:f>IF(COUNT('台北每日數據'!C333:D333)=2,'台北每日數據'!B333,"")</x:f>
        <x:v>272125</x:v>
      </x:c>
      <x:c r="C333" s="44" t="n">
        <x:f>IF(COUNT('新北每日數據'!C333:D333)=2,'新北每日數據'!B333,"")</x:f>
        <x:v>171984</x:v>
      </x:c>
      <x:c r="D333" s="44" t="n">
        <x:f>IF(COUNT(B333:C333)=2,SUM(B333:C333),"")</x:f>
        <x:v>444109</x:v>
      </x:c>
      <x:c r="E333" s="44" t="n">
        <x:f>IF(COUNT('台北每日數據'!C333:D333)=2,'台北每日數據'!G333,"")</x:f>
        <x:v>2097</x:v>
      </x:c>
      <x:c r="F333" s="44" t="n">
        <x:f>IF(COUNT('新北每日數據'!C333:D333)=2,'新北每日數據'!G333,"")</x:f>
        <x:v>1133</x:v>
      </x:c>
      <x:c r="G333" s="44" t="n">
        <x:f>IF(COUNT(E333:F333)=2,SUM(E333:F333),"")</x:f>
        <x:v>3230</x:v>
      </x:c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43" t="n">
        <x:f>'台北每日數據'!A334</x:f>
        <x:v>46166</x:v>
      </x:c>
      <x:c r="B334" s="44" t="n">
        <x:f>IF(COUNT('台北每日數據'!C334:D334)=2,'台北每日數據'!B334,"")</x:f>
        <x:v>247792</x:v>
      </x:c>
      <x:c r="C334" s="44" t="n">
        <x:f>IF(COUNT('新北每日數據'!C334:D334)=2,'新北每日數據'!B334,"")</x:f>
        <x:v>158955</x:v>
      </x:c>
      <x:c r="D334" s="44" t="n">
        <x:f>IF(COUNT(B334:C334)=2,SUM(B334:C334),"")</x:f>
        <x:v>406747</x:v>
      </x:c>
      <x:c r="E334" s="44" t="n">
        <x:f>IF(COUNT('台北每日數據'!C334:D334)=2,'台北每日數據'!G334,"")</x:f>
        <x:v>1935</x:v>
      </x:c>
      <x:c r="F334" s="44" t="n">
        <x:f>IF(COUNT('新北每日數據'!C334:D334)=2,'新北每日數據'!G334,"")</x:f>
        <x:v>1154</x:v>
      </x:c>
      <x:c r="G334" s="44" t="n">
        <x:f>IF(COUNT(E334:F334)=2,SUM(E334:F334),"")</x:f>
        <x:v>3089</x:v>
      </x:c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43" t="n">
        <x:f>'台北每日數據'!A335</x:f>
        <x:v>46167</x:v>
      </x:c>
      <x:c r="B335" s="44" t="n">
        <x:f>IF(COUNT('台北每日數據'!C335:D335)=2,'台北每日數據'!B335,"")</x:f>
        <x:v>294911</x:v>
      </x:c>
      <x:c r="C335" s="44" t="n">
        <x:f>IF(COUNT('新北每日數據'!C335:D335)=2,'新北每日數據'!B335,"")</x:f>
        <x:v>157148</x:v>
      </x:c>
      <x:c r="D335" s="44" t="n">
        <x:f>IF(COUNT(B335:C335)=2,SUM(B335:C335),"")</x:f>
        <x:v>452059</x:v>
      </x:c>
      <x:c r="E335" s="44" t="n">
        <x:f>IF(COUNT('台北每日數據'!C335:D335)=2,'台北每日數據'!G335,"")</x:f>
        <x:v>1977</x:v>
      </x:c>
      <x:c r="F335" s="44" t="n">
        <x:f>IF(COUNT('新北每日數據'!C335:D335)=2,'新北每日數據'!G335,"")</x:f>
        <x:v>1073</x:v>
      </x:c>
      <x:c r="G335" s="44" t="n">
        <x:f>IF(COUNT(E335:F335)=2,SUM(E335:F335),"")</x:f>
        <x:v>3050</x:v>
      </x:c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43" t="n">
        <x:f>'台北每日數據'!A336</x:f>
        <x:v>46168</x:v>
      </x:c>
      <x:c r="B336" s="44" t="n">
        <x:f>IF(COUNT('台北每日數據'!C336:D336)=2,'台北每日數據'!B336,"")</x:f>
        <x:v>304344</x:v>
      </x:c>
      <x:c r="C336" s="44" t="n">
        <x:f>IF(COUNT('新北每日數據'!C336:D336)=2,'新北每日數據'!B336,"")</x:f>
        <x:v>159047</x:v>
      </x:c>
      <x:c r="D336" s="44" t="n">
        <x:f>IF(COUNT(B336:C336)=2,SUM(B336:C336),"")</x:f>
        <x:v>463391</x:v>
      </x:c>
      <x:c r="E336" s="44" t="n">
        <x:f>IF(COUNT('台北每日數據'!C336:D336)=2,'台北每日數據'!G336,"")</x:f>
        <x:v>2078</x:v>
      </x:c>
      <x:c r="F336" s="44" t="n">
        <x:f>IF(COUNT('新北每日數據'!C336:D336)=2,'新北每日數據'!G336,"")</x:f>
        <x:v>1129</x:v>
      </x:c>
      <x:c r="G336" s="44" t="n">
        <x:f>IF(COUNT(E336:F336)=2,SUM(E336:F336),"")</x:f>
        <x:v>3207</x:v>
      </x:c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43" t="n">
        <x:f>'台北每日數據'!A337</x:f>
        <x:v>46169</x:v>
      </x:c>
      <x:c r="B337" s="44" t="n">
        <x:f>IF(COUNT('台北每日數據'!C337:D337)=2,'台北每日數據'!B337,"")</x:f>
        <x:v>299524</x:v>
      </x:c>
      <x:c r="C337" s="44" t="n">
        <x:f>IF(COUNT('新北每日數據'!C337:D337)=2,'新北每日數據'!B337,"")</x:f>
        <x:v>156852</x:v>
      </x:c>
      <x:c r="D337" s="44" t="n">
        <x:f>IF(COUNT(B337:C337)=2,SUM(B337:C337),"")</x:f>
        <x:v>456376</x:v>
      </x:c>
      <x:c r="E337" s="44" t="n">
        <x:f>IF(COUNT('台北每日數據'!C337:D337)=2,'台北每日數據'!G337,"")</x:f>
        <x:v>2198</x:v>
      </x:c>
      <x:c r="F337" s="44" t="n">
        <x:f>IF(COUNT('新北每日數據'!C337:D337)=2,'新北每日數據'!G337,"")</x:f>
        <x:v>1103</x:v>
      </x:c>
      <x:c r="G337" s="44" t="n">
        <x:f>IF(COUNT(E337:F337)=2,SUM(E337:F337),"")</x:f>
        <x:v>3301</x:v>
      </x:c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43" t="n">
        <x:f>'台北每日數據'!A338</x:f>
        <x:v>46170</x:v>
      </x:c>
      <x:c r="B338" s="44" t="n">
        <x:f>IF(COUNT('台北每日數據'!C338:D338)=2,'台北每日數據'!B338,"")</x:f>
        <x:v>301895</x:v>
      </x:c>
      <x:c r="C338" s="44" t="n">
        <x:f>IF(COUNT('新北每日數據'!C338:D338)=2,'新北每日數據'!B338,"")</x:f>
        <x:v>157519</x:v>
      </x:c>
      <x:c r="D338" s="44" t="n">
        <x:f>IF(COUNT(B338:C338)=2,SUM(B338:C338),"")</x:f>
        <x:v>459414</x:v>
      </x:c>
      <x:c r="E338" s="44" t="n">
        <x:f>IF(COUNT('台北每日數據'!C338:D338)=2,'台北每日數據'!G338,"")</x:f>
        <x:v>2361</x:v>
      </x:c>
      <x:c r="F338" s="44" t="n">
        <x:f>IF(COUNT('新北每日數據'!C338:D338)=2,'新北每日數據'!G338,"")</x:f>
        <x:v>1150</x:v>
      </x:c>
      <x:c r="G338" s="44" t="n">
        <x:f>IF(COUNT(E338:F338)=2,SUM(E338:F338),"")</x:f>
        <x:v>3511</x:v>
      </x:c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43" t="n">
        <x:f>'台北每日數據'!A339</x:f>
        <x:v>46171</x:v>
      </x:c>
      <x:c r="B339" s="44" t="n">
        <x:f>IF(COUNT('台北每日數據'!C339:D339)=2,'台北每日數據'!B339,"")</x:f>
        <x:v>243458</x:v>
      </x:c>
      <x:c r="C339" s="44" t="n">
        <x:f>IF(COUNT('新北每日數據'!C339:D339)=2,'新北每日數據'!B339,"")</x:f>
        <x:v>131771</x:v>
      </x:c>
      <x:c r="D339" s="44" t="n">
        <x:f>IF(COUNT(B339:C339)=2,SUM(B339:C339),"")</x:f>
        <x:v>375229</x:v>
      </x:c>
      <x:c r="E339" s="44" t="n">
        <x:f>IF(COUNT('台北每日數據'!C339:D339)=2,'台北每日數據'!G339,"")</x:f>
        <x:v>2124</x:v>
      </x:c>
      <x:c r="F339" s="44" t="n">
        <x:f>IF(COUNT('新北每日數據'!C339:D339)=2,'新北每日數據'!G339,"")</x:f>
        <x:v>1091</x:v>
      </x:c>
      <x:c r="G339" s="44" t="n">
        <x:f>IF(COUNT(E339:F339)=2,SUM(E339:F339),"")</x:f>
        <x:v>3215</x:v>
      </x:c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43" t="n">
        <x:f>'台北每日數據'!A340</x:f>
        <x:v>46172</x:v>
      </x:c>
      <x:c r="B340" s="44" t="n">
        <x:f>IF(COUNT('台北每日數據'!C340:D340)=2,'台北每日數據'!B340,"")</x:f>
        <x:v>269637</x:v>
      </x:c>
      <x:c r="C340" s="44" t="n">
        <x:f>IF(COUNT('新北每日數據'!C340:D340)=2,'新北每日數據'!B340,"")</x:f>
        <x:v>169442</x:v>
      </x:c>
      <x:c r="D340" s="44" t="n">
        <x:f>IF(COUNT(B340:C340)=2,SUM(B340:C340),"")</x:f>
        <x:v>439079</x:v>
      </x:c>
      <x:c r="E340" s="44" t="n">
        <x:f>IF(COUNT('台北每日數據'!C340:D340)=2,'台北每日數據'!G340,"")</x:f>
        <x:v>2785</x:v>
      </x:c>
      <x:c r="F340" s="44" t="n">
        <x:f>IF(COUNT('新北每日數據'!C340:D340)=2,'新北每日數據'!G340,"")</x:f>
        <x:v>1552</x:v>
      </x:c>
      <x:c r="G340" s="44" t="n">
        <x:f>IF(COUNT(E340:F340)=2,SUM(E340:F340),"")</x:f>
        <x:v>4337</x:v>
      </x:c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43" t="n">
        <x:f>'台北每日數據'!A341</x:f>
        <x:v>46173</x:v>
      </x:c>
      <x:c r="B341" s="44" t="n">
        <x:f>IF(COUNT('台北每日數據'!C341:D341)=2,'台北每日數據'!B341,"")</x:f>
        <x:v>250545</x:v>
      </x:c>
      <x:c r="C341" s="44" t="n">
        <x:f>IF(COUNT('新北每日數據'!C341:D341)=2,'新北每日數據'!B341,"")</x:f>
        <x:v>158763</x:v>
      </x:c>
      <x:c r="D341" s="44" t="n">
        <x:f>IF(COUNT(B341:C341)=2,SUM(B341:C341),"")</x:f>
        <x:v>409308</x:v>
      </x:c>
      <x:c r="E341" s="44" t="n">
        <x:f>IF(COUNT('台北每日數據'!C341:D341)=2,'台北每日數據'!G341,"")</x:f>
        <x:v>3072</x:v>
      </x:c>
      <x:c r="F341" s="44" t="n">
        <x:f>IF(COUNT('新北每日數據'!C341:D341)=2,'新北每日數據'!G341,"")</x:f>
        <x:v>1640</x:v>
      </x:c>
      <x:c r="G341" s="44" t="n">
        <x:f>IF(COUNT(E341:F341)=2,SUM(E341:F341),"")</x:f>
        <x:v>4712</x:v>
      </x:c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43" t="n">
        <x:f>'台北每日數據'!A342</x:f>
        <x:v>46174</x:v>
      </x:c>
      <x:c r="B342" s="44" t="n">
        <x:f>IF(COUNT('台北每日數據'!C342:D342)=2,'台北每日數據'!B342,"")</x:f>
        <x:v>306065</x:v>
      </x:c>
      <x:c r="C342" s="44" t="n">
        <x:f>IF(COUNT('新北每日數據'!C342:D342)=2,'新北每日數據'!B342,"")</x:f>
        <x:v>160267</x:v>
      </x:c>
      <x:c r="D342" s="44" t="n">
        <x:f>IF(COUNT(B342:C342)=2,SUM(B342:C342),"")</x:f>
        <x:v>466332</x:v>
      </x:c>
      <x:c r="E342" s="44" t="n">
        <x:f>IF(COUNT('台北每日數據'!C342:D342)=2,'台北每日數據'!G342,"")</x:f>
        <x:v>1995</x:v>
      </x:c>
      <x:c r="F342" s="44" t="n">
        <x:f>IF(COUNT('新北每日數據'!C342:D342)=2,'新北每日數據'!G342,"")</x:f>
        <x:v>1170</x:v>
      </x:c>
      <x:c r="G342" s="44" t="n">
        <x:f>IF(COUNT(E342:F342)=2,SUM(E342:F342),"")</x:f>
        <x:v>3165</x:v>
      </x:c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43" t="n">
        <x:f>'台北每日數據'!A343</x:f>
        <x:v>46175</x:v>
      </x:c>
      <x:c r="B343" s="44" t="n">
        <x:f>IF(COUNT('台北每日數據'!C343:D343)=2,'台北每日數據'!B343,"")</x:f>
        <x:v>304752</x:v>
      </x:c>
      <x:c r="C343" s="44" t="n">
        <x:f>IF(COUNT('新北每日數據'!C343:D343)=2,'新北每日數據'!B343,"")</x:f>
        <x:v>158985</x:v>
      </x:c>
      <x:c r="D343" s="44" t="n">
        <x:f>IF(COUNT(B343:C343)=2,SUM(B343:C343),"")</x:f>
        <x:v>463737</x:v>
      </x:c>
      <x:c r="E343" s="44" t="n">
        <x:f>IF(COUNT('台北每日數據'!C343:D343)=2,'台北每日數據'!G343,"")</x:f>
        <x:v>2071</x:v>
      </x:c>
      <x:c r="F343" s="44" t="n">
        <x:f>IF(COUNT('新北每日數據'!C343:D343)=2,'新北每日數據'!G343,"")</x:f>
        <x:v>1093</x:v>
      </x:c>
      <x:c r="G343" s="44" t="n">
        <x:f>IF(COUNT(E343:F343)=2,SUM(E343:F343),"")</x:f>
        <x:v>3164</x:v>
      </x:c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43" t="n">
        <x:f>'台北每日數據'!A344</x:f>
        <x:v>46176</x:v>
      </x:c>
      <x:c r="B344" s="44" t="n">
        <x:f>IF(COUNT('台北每日數據'!C344:D344)=2,'台北每日數據'!B344,"")</x:f>
        <x:v>296968</x:v>
      </x:c>
      <x:c r="C344" s="44" t="n">
        <x:f>IF(COUNT('新北每日數據'!C344:D344)=2,'新北每日數據'!B344,"")</x:f>
        <x:v>149693</x:v>
      </x:c>
      <x:c r="D344" s="44" t="n">
        <x:f>IF(COUNT(B344:C344)=2,SUM(B344:C344),"")</x:f>
        <x:v>446661</x:v>
      </x:c>
      <x:c r="E344" s="44" t="n">
        <x:f>IF(COUNT('台北每日數據'!C344:D344)=2,'台北每日數據'!G344,"")</x:f>
        <x:v>2055</x:v>
      </x:c>
      <x:c r="F344" s="44" t="n">
        <x:f>IF(COUNT('新北每日數據'!C344:D344)=2,'新北每日數據'!G344,"")</x:f>
        <x:v>1035</x:v>
      </x:c>
      <x:c r="G344" s="44" t="n">
        <x:f>IF(COUNT(E344:F344)=2,SUM(E344:F344),"")</x:f>
        <x:v>3090</x:v>
      </x:c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43" t="n">
        <x:f>'台北每日數據'!A345</x:f>
        <x:v>46177</x:v>
      </x:c>
      <x:c r="B345" s="44" t="n">
        <x:f>IF(COUNT('台北每日數據'!C345:D345)=2,'台北每日數據'!B345,"")</x:f>
        <x:v>195141</x:v>
      </x:c>
      <x:c r="C345" s="44" t="n">
        <x:f>IF(COUNT('新北每日數據'!C345:D345)=2,'新北每日數據'!B345,"")</x:f>
        <x:v>102420</x:v>
      </x:c>
      <x:c r="D345" s="44" t="n">
        <x:f>IF(COUNT(B345:C345)=2,SUM(B345:C345),"")</x:f>
        <x:v>297561</x:v>
      </x:c>
      <x:c r="E345" s="44" t="n">
        <x:f>IF(COUNT('台北每日數據'!C345:D345)=2,'台北每日數據'!G345,"")</x:f>
        <x:v>1574</x:v>
      </x:c>
      <x:c r="F345" s="44" t="n">
        <x:f>IF(COUNT('新北每日數據'!C345:D345)=2,'新北每日數據'!G345,"")</x:f>
        <x:v>824</x:v>
      </x:c>
      <x:c r="G345" s="44" t="n">
        <x:f>IF(COUNT(E345:F345)=2,SUM(E345:F345),"")</x:f>
        <x:v>2398</x:v>
      </x:c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43" t="n">
        <x:f>'台北每日數據'!A346</x:f>
        <x:v>46178</x:v>
      </x:c>
      <x:c r="B346" s="44" t="n">
        <x:f>IF(COUNT('台北每日數據'!C346:D346)=2,'台北每日數據'!B346,"")</x:f>
        <x:v>79538</x:v>
      </x:c>
      <x:c r="C346" s="44" t="n">
        <x:f>IF(COUNT('新北每日數據'!C346:D346)=2,'新北每日數據'!B346,"")</x:f>
        <x:v>57434</x:v>
      </x:c>
      <x:c r="D346" s="44" t="n">
        <x:f>IF(COUNT(B346:C346)=2,SUM(B346:C346),"")</x:f>
        <x:v>136972</x:v>
      </x:c>
      <x:c r="E346" s="44" t="n">
        <x:f>IF(COUNT('台北每日數據'!C346:D346)=2,'台北每日數據'!G346,"")</x:f>
        <x:v>602</x:v>
      </x:c>
      <x:c r="F346" s="44" t="n">
        <x:f>IF(COUNT('新北每日數據'!C346:D346)=2,'新北每日數據'!G346,"")</x:f>
        <x:v>419</x:v>
      </x:c>
      <x:c r="G346" s="44" t="n">
        <x:f>IF(COUNT(E346:F346)=2,SUM(E346:F346),"")</x:f>
        <x:v>1021</x:v>
      </x:c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43" t="n">
        <x:f>'台北每日數據'!A347</x:f>
        <x:v>46179</x:v>
      </x:c>
      <x:c r="B347" s="44" t="n">
        <x:f>IF(COUNT('台北每日數據'!C347:D347)=2,'台北每日數據'!B347,"")</x:f>
        <x:v>250689</x:v>
      </x:c>
      <x:c r="C347" s="44" t="n">
        <x:f>IF(COUNT('新北每日數據'!C347:D347)=2,'新北每日數據'!B347,"")</x:f>
        <x:v>150487</x:v>
      </x:c>
      <x:c r="D347" s="44" t="n">
        <x:f>IF(COUNT(B347:C347)=2,SUM(B347:C347),"")</x:f>
        <x:v>401176</x:v>
      </x:c>
      <x:c r="E347" s="44" t="n">
        <x:f>IF(COUNT('台北每日數據'!C347:D347)=2,'台北每日數據'!G347,"")</x:f>
        <x:v>1832</x:v>
      </x:c>
      <x:c r="F347" s="44" t="n">
        <x:f>IF(COUNT('新北每日數據'!C347:D347)=2,'新北每日數據'!G347,"")</x:f>
        <x:v>1078</x:v>
      </x:c>
      <x:c r="G347" s="44" t="n">
        <x:f>IF(COUNT(E347:F347)=2,SUM(E347:F347),"")</x:f>
        <x:v>2910</x:v>
      </x:c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43" t="n">
        <x:f>'台北每日數據'!A348</x:f>
        <x:v>46180</x:v>
      </x:c>
      <x:c r="B348" s="44" t="n">
        <x:f>IF(COUNT('台北每日數據'!C348:D348)=2,'台北每日數據'!B348,"")</x:f>
        <x:v>189482</x:v>
      </x:c>
      <x:c r="C348" s="44" t="n">
        <x:f>IF(COUNT('新北每日數據'!C348:D348)=2,'新北每日數據'!B348,"")</x:f>
        <x:v>111615</x:v>
      </x:c>
      <x:c r="D348" s="44" t="n">
        <x:f>IF(COUNT(B348:C348)=2,SUM(B348:C348),"")</x:f>
        <x:v>301097</x:v>
      </x:c>
      <x:c r="E348" s="44" t="n">
        <x:f>IF(COUNT('台北每日數據'!C348:D348)=2,'台北每日數據'!G348,"")</x:f>
        <x:v>1564</x:v>
      </x:c>
      <x:c r="F348" s="44" t="n">
        <x:f>IF(COUNT('新北每日數據'!C348:D348)=2,'新北每日數據'!G348,"")</x:f>
        <x:v>884</x:v>
      </x:c>
      <x:c r="G348" s="44" t="n">
        <x:f>IF(COUNT(E348:F348)=2,SUM(E348:F348),"")</x:f>
        <x:v>2448</x:v>
      </x:c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43" t="n">
        <x:f>'台北每日數據'!A349</x:f>
        <x:v>46181</x:v>
      </x:c>
      <x:c r="B349" s="44" t="n">
        <x:f>IF(COUNT('台北每日數據'!C349:D349)=2,'台北每日數據'!B349,"")</x:f>
        <x:v>161652</x:v>
      </x:c>
      <x:c r="C349" s="44" t="n">
        <x:f>IF(COUNT('新北每日數據'!C349:D349)=2,'新北每日數據'!B349,"")</x:f>
        <x:v>96785</x:v>
      </x:c>
      <x:c r="D349" s="44" t="n">
        <x:f>IF(COUNT(B349:C349)=2,SUM(B349:C349),"")</x:f>
        <x:v>258437</x:v>
      </x:c>
      <x:c r="E349" s="44" t="n">
        <x:f>IF(COUNT('台北每日數據'!C349:D349)=2,'台北每日數據'!G349,"")</x:f>
        <x:v>1151</x:v>
      </x:c>
      <x:c r="F349" s="44" t="n">
        <x:f>IF(COUNT('新北每日數據'!C349:D349)=2,'新北每日數據'!G349,"")</x:f>
        <x:v>644</x:v>
      </x:c>
      <x:c r="G349" s="44" t="n">
        <x:f>IF(COUNT(E349:F349)=2,SUM(E349:F349),"")</x:f>
        <x:v>1795</x:v>
      </x:c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43" t="n">
        <x:f>'台北每日數據'!A350</x:f>
        <x:v>46182</x:v>
      </x:c>
      <x:c r="B350" s="44" t="n">
        <x:f>IF(COUNT('台北每日數據'!C350:D350)=2,'台北每日數據'!B350,"")</x:f>
        <x:v>94654</x:v>
      </x:c>
      <x:c r="C350" s="44" t="n">
        <x:f>IF(COUNT('新北每日數據'!C350:D350)=2,'新北每日數據'!B350,"")</x:f>
        <x:v>42618</x:v>
      </x:c>
      <x:c r="D350" s="44" t="n">
        <x:f>IF(COUNT(B350:C350)=2,SUM(B350:C350),"")</x:f>
        <x:v>137272</x:v>
      </x:c>
      <x:c r="E350" s="44" t="n">
        <x:f>IF(COUNT('台北每日數據'!C350:D350)=2,'台北每日數據'!G350,"")</x:f>
        <x:v>651</x:v>
      </x:c>
      <x:c r="F350" s="44" t="n">
        <x:f>IF(COUNT('新北每日數據'!C350:D350)=2,'新北每日數據'!G350,"")</x:f>
        <x:v>276</x:v>
      </x:c>
      <x:c r="G350" s="44" t="n">
        <x:f>IF(COUNT(E350:F350)=2,SUM(E350:F350),"")</x:f>
        <x:v>927</x:v>
      </x:c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43" t="n">
        <x:f>'台北每日數據'!A351</x:f>
        <x:v>46183</x:v>
      </x:c>
      <x:c r="B351" s="44" t="n">
        <x:f>IF(COUNT('台北每日數據'!C351:D351)=2,'台北每日數據'!B351,"")</x:f>
        <x:v>160186</x:v>
      </x:c>
      <x:c r="C351" s="44" t="n">
        <x:f>IF(COUNT('新北每日數據'!C351:D351)=2,'新北每日數據'!B351,"")</x:f>
        <x:v>69897</x:v>
      </x:c>
      <x:c r="D351" s="44" t="n">
        <x:f>IF(COUNT(B351:C351)=2,SUM(B351:C351),"")</x:f>
        <x:v>230083</x:v>
      </x:c>
      <x:c r="E351" s="44" t="n">
        <x:f>IF(COUNT('台北每日數據'!C351:D351)=2,'台北每日數據'!G351,"")</x:f>
        <x:v>997</x:v>
      </x:c>
      <x:c r="F351" s="44" t="n">
        <x:f>IF(COUNT('新北每日數據'!C351:D351)=2,'新北每日數據'!G351,"")</x:f>
        <x:v>419</x:v>
      </x:c>
      <x:c r="G351" s="44" t="n">
        <x:f>IF(COUNT(E351:F351)=2,SUM(E351:F351),"")</x:f>
        <x:v>1416</x:v>
      </x:c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43" t="n">
        <x:f>'台北每日數據'!A352</x:f>
        <x:v>46184</x:v>
      </x:c>
      <x:c r="B352" s="44" t="n">
        <x:f>IF(COUNT('台北每日數據'!C352:D352)=2,'台北每日數據'!B352,"")</x:f>
        <x:v>175739</x:v>
      </x:c>
      <x:c r="C352" s="44" t="n">
        <x:f>IF(COUNT('新北每日數據'!C352:D352)=2,'新北每日數據'!B352,"")</x:f>
        <x:v>96898</x:v>
      </x:c>
      <x:c r="D352" s="44" t="n">
        <x:f>IF(COUNT(B352:C352)=2,SUM(B352:C352),"")</x:f>
        <x:v>272637</x:v>
      </x:c>
      <x:c r="E352" s="44" t="n">
        <x:f>IF(COUNT('台北每日數據'!C352:D352)=2,'台北每日數據'!G352,"")</x:f>
        <x:v>1190</x:v>
      </x:c>
      <x:c r="F352" s="44" t="n">
        <x:f>IF(COUNT('新北每日數據'!C352:D352)=2,'新北每日數據'!G352,"")</x:f>
        <x:v>602</x:v>
      </x:c>
      <x:c r="G352" s="44" t="n">
        <x:f>IF(COUNT(E352:F352)=2,SUM(E352:F352),"")</x:f>
        <x:v>1792</x:v>
      </x:c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43" t="n">
        <x:f>'台北每日數據'!A353</x:f>
        <x:v>46185</x:v>
      </x:c>
      <x:c r="B353" s="44" t="n">
        <x:f>IF(COUNT('台北每日數據'!C353:D353)=2,'台北每日數據'!B353,"")</x:f>
        <x:v>153701</x:v>
      </x:c>
      <x:c r="C353" s="44" t="n">
        <x:f>IF(COUNT('新北每日數據'!C353:D353)=2,'新北每日數據'!B353,"")</x:f>
        <x:v>85160</x:v>
      </x:c>
      <x:c r="D353" s="44" t="n">
        <x:f>IF(COUNT(B353:C353)=2,SUM(B353:C353),"")</x:f>
        <x:v>238861</x:v>
      </x:c>
      <x:c r="E353" s="44" t="n">
        <x:f>IF(COUNT('台北每日數據'!C353:D353)=2,'台北每日數據'!G353,"")</x:f>
        <x:v>1190</x:v>
      </x:c>
      <x:c r="F353" s="44" t="n">
        <x:f>IF(COUNT('新北每日數據'!C353:D353)=2,'新北每日數據'!G353,"")</x:f>
        <x:v>651</x:v>
      </x:c>
      <x:c r="G353" s="44" t="n">
        <x:f>IF(COUNT(E353:F353)=2,SUM(E353:F353),"")</x:f>
        <x:v>1841</x:v>
      </x:c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43" t="n">
        <x:f>'台北每日數據'!A354</x:f>
        <x:v>46186</x:v>
      </x:c>
      <x:c r="B354" s="44" t="n">
        <x:f>IF(COUNT('台北每日數據'!C354:D354)=2,'台北每日數據'!B354,"")</x:f>
        <x:v>259654</x:v>
      </x:c>
      <x:c r="C354" s="44" t="n">
        <x:f>IF(COUNT('新北每日數據'!C354:D354)=2,'新北每日數據'!B354,"")</x:f>
        <x:v>158351</x:v>
      </x:c>
      <x:c r="D354" s="44" t="n">
        <x:f>IF(COUNT(B354:C354)=2,SUM(B354:C354),"")</x:f>
        <x:v>418005</x:v>
      </x:c>
      <x:c r="E354" s="44" t="n">
        <x:f>IF(COUNT('台北每日數據'!C354:D354)=2,'台北每日數據'!G354,"")</x:f>
        <x:v>2002</x:v>
      </x:c>
      <x:c r="F354" s="44" t="n">
        <x:f>IF(COUNT('新北每日數據'!C354:D354)=2,'新北每日數據'!G354,"")</x:f>
        <x:v>1118</x:v>
      </x:c>
      <x:c r="G354" s="44" t="n">
        <x:f>IF(COUNT(E354:F354)=2,SUM(E354:F354),"")</x:f>
        <x:v>3120</x:v>
      </x:c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43" t="n">
        <x:f>'台北每日數據'!A355</x:f>
        <x:v>46187</x:v>
      </x:c>
      <x:c r="B355" s="44" t="n">
        <x:f>IF(COUNT('台北每日數據'!C355:D355)=2,'台北每日數據'!B355,"")</x:f>
        <x:v>118365</x:v>
      </x:c>
      <x:c r="C355" s="44" t="n">
        <x:f>IF(COUNT('新北每日數據'!C355:D355)=2,'新北每日數據'!B355,"")</x:f>
        <x:v>69454</x:v>
      </x:c>
      <x:c r="D355" s="44" t="n">
        <x:f>IF(COUNT(B355:C355)=2,SUM(B355:C355),"")</x:f>
        <x:v>187819</x:v>
      </x:c>
      <x:c r="E355" s="44" t="n">
        <x:f>IF(COUNT('台北每日數據'!C355:D355)=2,'台北每日數據'!G355,"")</x:f>
        <x:v>1019</x:v>
      </x:c>
      <x:c r="F355" s="44" t="n">
        <x:f>IF(COUNT('新北每日數據'!C355:D355)=2,'新北每日數據'!G355,"")</x:f>
        <x:v>591</x:v>
      </x:c>
      <x:c r="G355" s="44" t="n">
        <x:f>IF(COUNT(E355:F355)=2,SUM(E355:F355),"")</x:f>
        <x:v>1610</x:v>
      </x:c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43" t="n">
        <x:f>'台北每日數據'!A356</x:f>
        <x:v>46188</x:v>
      </x:c>
      <x:c r="B356" s="44" t="n">
        <x:f>IF(COUNT('台北每日數據'!C356:D356)=2,'台北每日數據'!B356,"")</x:f>
        <x:v>269017</x:v>
      </x:c>
      <x:c r="C356" s="44" t="n">
        <x:f>IF(COUNT('新北每日數據'!C356:D356)=2,'新北每日數據'!B356,"")</x:f>
        <x:v>133024</x:v>
      </x:c>
      <x:c r="D356" s="44" t="n">
        <x:f>IF(COUNT(B356:C356)=2,SUM(B356:C356),"")</x:f>
        <x:v>402041</x:v>
      </x:c>
      <x:c r="E356" s="44" t="n">
        <x:f>IF(COUNT('台北每日數據'!C356:D356)=2,'台北每日數據'!G356,"")</x:f>
        <x:v>1944</x:v>
      </x:c>
      <x:c r="F356" s="44" t="n">
        <x:f>IF(COUNT('新北每日數據'!C356:D356)=2,'新北每日數據'!G356,"")</x:f>
        <x:v>1000</x:v>
      </x:c>
      <x:c r="G356" s="44" t="n">
        <x:f>IF(COUNT(E356:F356)=2,SUM(E356:F356),"")</x:f>
        <x:v>2944</x:v>
      </x:c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43" t="n">
        <x:f>'台北每日數據'!A357</x:f>
        <x:v>46189</x:v>
      </x:c>
      <x:c r="B357" s="44" t="n">
        <x:f>IF(COUNT('台北每日數據'!C357:D357)=2,'台北每日數據'!B357,"")</x:f>
        <x:v>257050</x:v>
      </x:c>
      <x:c r="C357" s="44" t="n">
        <x:f>IF(COUNT('新北每日數據'!C357:D357)=2,'新北每日數據'!B357,"")</x:f>
        <x:v>144183</x:v>
      </x:c>
      <x:c r="D357" s="44" t="n">
        <x:f>IF(COUNT(B357:C357)=2,SUM(B357:C357),"")</x:f>
        <x:v>401233</x:v>
      </x:c>
      <x:c r="E357" s="44" t="n">
        <x:f>IF(COUNT('台北每日數據'!C357:D357)=2,'台北每日數據'!G357,"")</x:f>
        <x:v>1851</x:v>
      </x:c>
      <x:c r="F357" s="44" t="n">
        <x:f>IF(COUNT('新北每日數據'!C357:D357)=2,'新北每日數據'!G357,"")</x:f>
        <x:v>1084</x:v>
      </x:c>
      <x:c r="G357" s="44" t="n">
        <x:f>IF(COUNT(E357:F357)=2,SUM(E357:F357),"")</x:f>
        <x:v>2935</x:v>
      </x:c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43" t="n">
        <x:f>'台北每日數據'!A358</x:f>
        <x:v>46190</x:v>
      </x:c>
      <x:c r="B358" s="44" t="n">
        <x:f>IF(COUNT('台北每日數據'!C358:D358)=2,'台北每日數據'!B358,"")</x:f>
        <x:v>250711</x:v>
      </x:c>
      <x:c r="C358" s="44" t="n">
        <x:f>IF(COUNT('新北每日數據'!C358:D358)=2,'新北每日數據'!B358,"")</x:f>
        <x:v>136415</x:v>
      </x:c>
      <x:c r="D358" s="44" t="n">
        <x:f>IF(COUNT(B358:C358)=2,SUM(B358:C358),"")</x:f>
        <x:v>387126</x:v>
      </x:c>
      <x:c r="E358" s="44" t="n">
        <x:f>IF(COUNT('台北每日數據'!C358:D358)=2,'台北每日數據'!G358,"")</x:f>
        <x:v>1769</x:v>
      </x:c>
      <x:c r="F358" s="44" t="n">
        <x:f>IF(COUNT('新北每日數據'!C358:D358)=2,'新北每日數據'!G358,"")</x:f>
        <x:v>935</x:v>
      </x:c>
      <x:c r="G358" s="44" t="n">
        <x:f>IF(COUNT(E358:F358)=2,SUM(E358:F358),"")</x:f>
        <x:v>2704</x:v>
      </x:c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43" t="n">
        <x:f>'台北每日數據'!A359</x:f>
        <x:v>46191</x:v>
      </x:c>
      <x:c r="B359" s="44" t="n">
        <x:f>IF(COUNT('台北每日數據'!C359:D359)=2,'台北每日數據'!B359,"")</x:f>
        <x:v>236809</x:v>
      </x:c>
      <x:c r="C359" s="44" t="n">
        <x:f>IF(COUNT('新北每日數據'!C359:D359)=2,'新北每日數據'!B359,"")</x:f>
        <x:v>141079</x:v>
      </x:c>
      <x:c r="D359" s="44" t="n">
        <x:f>IF(COUNT(B359:C359)=2,SUM(B359:C359),"")</x:f>
        <x:v>377888</x:v>
      </x:c>
      <x:c r="E359" s="44" t="n">
        <x:f>IF(COUNT('台北每日數據'!C359:D359)=2,'台北每日數據'!G359,"")</x:f>
        <x:v>1735</x:v>
      </x:c>
      <x:c r="F359" s="44" t="n">
        <x:f>IF(COUNT('新北每日數據'!C359:D359)=2,'新北每日數據'!G359,"")</x:f>
        <x:v>1000</x:v>
      </x:c>
      <x:c r="G359" s="44" t="n">
        <x:f>IF(COUNT(E359:F359)=2,SUM(E359:F359),"")</x:f>
        <x:v>2735</x:v>
      </x:c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43" t="n">
        <x:f>'台北每日數據'!A360</x:f>
        <x:v>46192</x:v>
      </x:c>
      <x:c r="B360" s="44" t="n">
        <x:f>IF(COUNT('台北每日數據'!C360:D360)=2,'台北每日數據'!B360,"")</x:f>
        <x:v>213298</x:v>
      </x:c>
      <x:c r="C360" s="44" t="n">
        <x:f>IF(COUNT('新北每日數據'!C360:D360)=2,'新北每日數據'!B360,"")</x:f>
        <x:v>139432</x:v>
      </x:c>
      <x:c r="D360" s="44" t="n">
        <x:f>IF(COUNT(B360:C360)=2,SUM(B360:C360),"")</x:f>
        <x:v>352730</x:v>
      </x:c>
      <x:c r="E360" s="44" t="n">
        <x:f>IF(COUNT('台北每日數據'!C360:D360)=2,'台北每日數據'!G360,"")</x:f>
        <x:v>1862</x:v>
      </x:c>
      <x:c r="F360" s="44" t="n">
        <x:f>IF(COUNT('新北每日數據'!C360:D360)=2,'新北每日數據'!G360,"")</x:f>
        <x:v>1099</x:v>
      </x:c>
      <x:c r="G360" s="44" t="n">
        <x:f>IF(COUNT(E360:F360)=2,SUM(E360:F360),"")</x:f>
        <x:v>2961</x:v>
      </x:c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43" t="n">
        <x:f>'台北每日數據'!A361</x:f>
        <x:v>46193</x:v>
      </x:c>
      <x:c r="B361" s="44" t="n">
        <x:f>IF(COUNT('台北每日數據'!C361:D361)=2,'台北每日數據'!B361,"")</x:f>
        <x:v>223747</x:v>
      </x:c>
      <x:c r="C361" s="44" t="n">
        <x:f>IF(COUNT('新北每日數據'!C361:D361)=2,'新北每日數據'!B361,"")</x:f>
        <x:v>146067</x:v>
      </x:c>
      <x:c r="D361" s="44" t="n">
        <x:f>IF(COUNT(B361:C361)=2,SUM(B361:C361),"")</x:f>
        <x:v>369814</x:v>
      </x:c>
      <x:c r="E361" s="44" t="n">
        <x:f>IF(COUNT('台北每日數據'!C361:D361)=2,'台北每日數據'!G361,"")</x:f>
        <x:v>2027</x:v>
      </x:c>
      <x:c r="F361" s="44" t="n">
        <x:f>IF(COUNT('新北每日數據'!C361:D361)=2,'新北每日數據'!G361,"")</x:f>
        <x:v>1230</x:v>
      </x:c>
      <x:c r="G361" s="44" t="n">
        <x:f>IF(COUNT(E361:F361)=2,SUM(E361:F361),"")</x:f>
        <x:v>3257</x:v>
      </x:c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43" t="n">
        <x:f>'台北每日數據'!A362</x:f>
        <x:v>46194</x:v>
      </x:c>
      <x:c r="B362" s="44" t="n">
        <x:f>IF(COUNT('台北每日數據'!C362:D362)=2,'台北每日數據'!B362,"")</x:f>
        <x:v>209198</x:v>
      </x:c>
      <x:c r="C362" s="44" t="n">
        <x:f>IF(COUNT('新北每日數據'!C362:D362)=2,'新北每日數據'!B362,"")</x:f>
        <x:v>133485</x:v>
      </x:c>
      <x:c r="D362" s="44" t="n">
        <x:f>IF(COUNT(B362:C362)=2,SUM(B362:C362),"")</x:f>
        <x:v>342683</x:v>
      </x:c>
      <x:c r="E362" s="44" t="n">
        <x:f>IF(COUNT('台北每日數據'!C362:D362)=2,'台北每日數據'!G362,"")</x:f>
        <x:v>1841</x:v>
      </x:c>
      <x:c r="F362" s="44" t="n">
        <x:f>IF(COUNT('新北每日數據'!C362:D362)=2,'新北每日數據'!G362,"")</x:f>
        <x:v>1172</x:v>
      </x:c>
      <x:c r="G362" s="44" t="n">
        <x:f>IF(COUNT(E362:F362)=2,SUM(E362:F362),"")</x:f>
        <x:v>3013</x:v>
      </x:c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43" t="n">
        <x:f>'台北每日數據'!A363</x:f>
        <x:v>46195</x:v>
      </x:c>
      <x:c r="B363" s="44" t="n">
        <x:f>IF(COUNT('台北每日數據'!C363:D363)=2,'台北每日數據'!B363,"")</x:f>
        <x:v>280332</x:v>
      </x:c>
      <x:c r="C363" s="44" t="n">
        <x:f>IF(COUNT('新北每日數據'!C363:D363)=2,'新北每日數據'!B363,"")</x:f>
        <x:v>150327</x:v>
      </x:c>
      <x:c r="D363" s="44" t="n">
        <x:f>IF(COUNT(B363:C363)=2,SUM(B363:C363),"")</x:f>
        <x:v>430659</x:v>
      </x:c>
      <x:c r="E363" s="44" t="n">
        <x:f>IF(COUNT('台北每日數據'!C363:D363)=2,'台北每日數據'!G363,"")</x:f>
        <x:v>2232</x:v>
      </x:c>
      <x:c r="F363" s="44" t="n">
        <x:f>IF(COUNT('新北每日數據'!C363:D363)=2,'新北每日數據'!G363,"")</x:f>
        <x:v>1206</x:v>
      </x:c>
      <x:c r="G363" s="44" t="n">
        <x:f>IF(COUNT(E363:F363)=2,SUM(E363:F363),"")</x:f>
        <x:v>3438</x:v>
      </x:c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43" t="n">
        <x:f>'台北每日數據'!A364</x:f>
        <x:v>46196</x:v>
      </x:c>
      <x:c r="B364" s="44" t="n">
        <x:f>IF(COUNT('台北每日數據'!C364:D364)=2,'台北每日數據'!B364,"")</x:f>
        <x:v>292403</x:v>
      </x:c>
      <x:c r="C364" s="44" t="n">
        <x:f>IF(COUNT('新北每日數據'!C364:D364)=2,'新北每日數據'!B364,"")</x:f>
        <x:v>156241</x:v>
      </x:c>
      <x:c r="D364" s="44" t="n">
        <x:f>IF(COUNT(B364:C364)=2,SUM(B364:C364),"")</x:f>
        <x:v>448644</x:v>
      </x:c>
      <x:c r="E364" s="44" t="n">
        <x:f>IF(COUNT('台北每日數據'!C364:D364)=2,'台北每日數據'!G364,"")</x:f>
        <x:v>2353</x:v>
      </x:c>
      <x:c r="F364" s="44" t="n">
        <x:f>IF(COUNT('新北每日數據'!C364:D364)=2,'新北每日數據'!G364,"")</x:f>
        <x:v>1251</x:v>
      </x:c>
      <x:c r="G364" s="44" t="n">
        <x:f>IF(COUNT(E364:F364)=2,SUM(E364:F364),"")</x:f>
        <x:v>3604</x:v>
      </x:c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43" t="n">
        <x:f>'台北每日數據'!A365</x:f>
        <x:v>46197</x:v>
      </x:c>
      <x:c r="B365" s="44" t="n">
        <x:f>IF(COUNT('台北每日數據'!C365:D365)=2,'台北每日數據'!B365,"")</x:f>
        <x:v>292278</x:v>
      </x:c>
      <x:c r="C365" s="44" t="n">
        <x:f>IF(COUNT('新北每日數據'!C365:D365)=2,'新北每日數據'!B365,"")</x:f>
        <x:v>158620</x:v>
      </x:c>
      <x:c r="D365" s="44" t="n">
        <x:f>IF(COUNT(B365:C365)=2,SUM(B365:C365),"")</x:f>
        <x:v>450898</x:v>
      </x:c>
      <x:c r="E365" s="44" t="n">
        <x:f>IF(COUNT('台北每日數據'!C365:D365)=2,'台北每日數據'!G365,"")</x:f>
        <x:v>2372</x:v>
      </x:c>
      <x:c r="F365" s="44" t="n">
        <x:f>IF(COUNT('新北每日數據'!C365:D365)=2,'新北每日數據'!G365,"")</x:f>
        <x:v>1281</x:v>
      </x:c>
      <x:c r="G365" s="44" t="n">
        <x:f>IF(COUNT(E365:F365)=2,SUM(E365:F365),"")</x:f>
        <x:v>3653</x:v>
      </x:c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43" t="n">
        <x:f>'台北每日數據'!A366</x:f>
        <x:v>46198</x:v>
      </x:c>
      <x:c r="B366" s="44" t="n">
        <x:f>IF(COUNT('台北每日數據'!C366:D366)=2,'台北每日數據'!B366,"")</x:f>
        <x:v>141397</x:v>
      </x:c>
      <x:c r="C366" s="44" t="n">
        <x:f>IF(COUNT('新北每日數據'!C366:D366)=2,'新北每日數據'!B366,"")</x:f>
        <x:v>93232</x:v>
      </x:c>
      <x:c r="D366" s="44" t="n">
        <x:f>IF(COUNT(B366:C366)=2,SUM(B366:C366),"")</x:f>
        <x:v>234629</x:v>
      </x:c>
      <x:c r="E366" s="44" t="n">
        <x:f>IF(COUNT('台北每日數據'!C366:D366)=2,'台北每日數據'!G366,"")</x:f>
        <x:v>1223</x:v>
      </x:c>
      <x:c r="F366" s="44" t="n">
        <x:f>IF(COUNT('新北每日數據'!C366:D366)=2,'新北每日數據'!G366,"")</x:f>
        <x:v>770</x:v>
      </x:c>
      <x:c r="G366" s="44" t="n">
        <x:f>IF(COUNT(E366:F366)=2,SUM(E366:F366),"")</x:f>
        <x:v>1993</x:v>
      </x:c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43" t="n">
        <x:f>'台北每日數據'!A367</x:f>
        <x:v>46199</x:v>
      </x:c>
      <x:c r="B367" s="44" t="n">
        <x:f>IF(COUNT('台北每日數據'!C367:D367)=2,'台北每日數據'!B367,"")</x:f>
        <x:v>117317</x:v>
      </x:c>
      <x:c r="C367" s="44" t="n">
        <x:f>IF(COUNT('新北每日數據'!C367:D367)=2,'新北每日數據'!B367,"")</x:f>
        <x:v>67162</x:v>
      </x:c>
      <x:c r="D367" s="44" t="n">
        <x:f>IF(COUNT(B367:C367)=2,SUM(B367:C367),"")</x:f>
        <x:v>184479</x:v>
      </x:c>
      <x:c r="E367" s="44" t="n">
        <x:f>IF(COUNT('台北每日數據'!C367:D367)=2,'台北每日數據'!G367,"")</x:f>
        <x:v>1129</x:v>
      </x:c>
      <x:c r="F367" s="44" t="n">
        <x:f>IF(COUNT('新北每日數據'!C367:D367)=2,'新北每日數據'!G367,"")</x:f>
        <x:v>585</x:v>
      </x:c>
      <x:c r="G367" s="44" t="n">
        <x:f>IF(COUNT(E367:F367)=2,SUM(E367:F367),"")</x:f>
        <x:v>1714</x:v>
      </x:c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43" t="n">
        <x:f>'台北每日數據'!A368</x:f>
        <x:v>46200</x:v>
      </x:c>
      <x:c r="B368" s="44" t="n">
        <x:f>IF(COUNT('台北每日數據'!C368:D368)=2,'台北每日數據'!B368,"")</x:f>
        <x:v>139485</x:v>
      </x:c>
      <x:c r="C368" s="44" t="n">
        <x:f>IF(COUNT('新北每日數據'!C368:D368)=2,'新北每日數據'!B368,"")</x:f>
        <x:v>81821</x:v>
      </x:c>
      <x:c r="D368" s="44" t="n">
        <x:f>IF(COUNT(B368:C368)=2,SUM(B368:C368),"")</x:f>
        <x:v>221306</x:v>
      </x:c>
      <x:c r="E368" s="44" t="n">
        <x:f>IF(COUNT('台北每日數據'!C368:D368)=2,'台北每日數據'!G368,"")</x:f>
        <x:v>1500</x:v>
      </x:c>
      <x:c r="F368" s="44" t="n">
        <x:f>IF(COUNT('新北每日數據'!C368:D368)=2,'新北每日數據'!G368,"")</x:f>
        <x:v>773</x:v>
      </x:c>
      <x:c r="G368" s="44" t="n">
        <x:f>IF(COUNT(E368:F368)=2,SUM(E368:F368),"")</x:f>
        <x:v>2273</x:v>
      </x:c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43" t="n">
        <x:f>'台北每日數據'!A369</x:f>
        <x:v>46201</x:v>
      </x:c>
      <x:c r="B369" s="44" t="n">
        <x:f>IF(COUNT('台北每日數據'!C369:D369)=2,'台北每日數據'!B369,"")</x:f>
        <x:v>166829</x:v>
      </x:c>
      <x:c r="C369" s="44" t="n">
        <x:f>IF(COUNT('新北每日數據'!C369:D369)=2,'新北每日數據'!B369,"")</x:f>
        <x:v>115029</x:v>
      </x:c>
      <x:c r="D369" s="44" t="n">
        <x:f>IF(COUNT(B369:C369)=2,SUM(B369:C369),"")</x:f>
        <x:v>281858</x:v>
      </x:c>
      <x:c r="E369" s="44" t="n">
        <x:f>IF(COUNT('台北每日數據'!C369:D369)=2,'台北每日數據'!G369,"")</x:f>
        <x:v>2169</x:v>
      </x:c>
      <x:c r="F369" s="44" t="n">
        <x:f>IF(COUNT('新北每日數據'!C369:D369)=2,'新北每日數據'!G369,"")</x:f>
        <x:v>1325</x:v>
      </x:c>
      <x:c r="G369" s="44" t="n">
        <x:f>IF(COUNT(E369:F369)=2,SUM(E369:F369),"")</x:f>
        <x:v>3494</x:v>
      </x:c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43" t="n">
        <x:f>'台北每日數據'!A370</x:f>
        <x:v>46202</x:v>
      </x:c>
      <x:c r="B370" s="44" t="n">
        <x:f>IF(COUNT('台北每日數據'!C370:D370)=2,'台北每日數據'!B370,"")</x:f>
        <x:v>284386</x:v>
      </x:c>
      <x:c r="C370" s="44" t="n">
        <x:f>IF(COUNT('新北每日數據'!C370:D370)=2,'新北每日數據'!B370,"")</x:f>
        <x:v>145089</x:v>
      </x:c>
      <x:c r="D370" s="44" t="n">
        <x:f>IF(COUNT(B370:C370)=2,SUM(B370:C370),"")</x:f>
        <x:v>429475</x:v>
      </x:c>
      <x:c r="E370" s="44" t="n">
        <x:f>IF(COUNT('台北每日數據'!C370:D370)=2,'台北每日數據'!G370,"")</x:f>
        <x:v>3146</x:v>
      </x:c>
      <x:c r="F370" s="44" t="n">
        <x:f>IF(COUNT('新北每日數據'!C370:D370)=2,'新北每日數據'!G370,"")</x:f>
        <x:v>1498</x:v>
      </x:c>
      <x:c r="G370" s="44" t="n">
        <x:f>IF(COUNT(E370:F370)=2,SUM(E370:F370),"")</x:f>
        <x:v>4644</x:v>
      </x:c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43" t="n">
        <x:f>'台北每日數據'!A371</x:f>
        <x:v>46203</x:v>
      </x:c>
      <x:c r="B371" s="44" t="n">
        <x:f>IF(COUNT('台北每日數據'!C371:D371)=2,'台北每日數據'!B371,"")</x:f>
        <x:v>285598</x:v>
      </x:c>
      <x:c r="C371" s="44" t="n">
        <x:f>IF(COUNT('新北每日數據'!C371:D371)=2,'新北每日數據'!B371,"")</x:f>
        <x:v>170259</x:v>
      </x:c>
      <x:c r="D371" s="44" t="n">
        <x:f>IF(COUNT(B371:C371)=2,SUM(B371:C371),"")</x:f>
        <x:v>455857</x:v>
      </x:c>
      <x:c r="E371" s="44" t="n">
        <x:f>IF(COUNT('台北每日數據'!C371:D371)=2,'台北每日數據'!G371,"")</x:f>
        <x:v>3850</x:v>
      </x:c>
      <x:c r="F371" s="44" t="n">
        <x:f>IF(COUNT('新北每日數據'!C371:D371)=2,'新北每日數據'!G371,"")</x:f>
        <x:v>1946</x:v>
      </x:c>
      <x:c r="G371" s="44" t="n">
        <x:f>IF(COUNT(E371:F371)=2,SUM(E371:F371),"")</x:f>
        <x:v>5796</x:v>
      </x:c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43" t="n">
        <x:f>'台北每日數據'!A372</x:f>
        <x:v>46204</x:v>
      </x:c>
      <x:c r="B372" s="44" t="n">
        <x:f>IF(COUNT('台北每日數據'!C372:D372)=2,'台北每日數據'!B372,"")</x:f>
        <x:v>291541</x:v>
      </x:c>
      <x:c r="C372" s="44" t="n">
        <x:f>IF(COUNT('新北每日數據'!C372:D372)=2,'新北每日數據'!B372,"")</x:f>
        <x:v>162970</x:v>
      </x:c>
      <x:c r="D372" s="44" t="n">
        <x:f>IF(COUNT(B372:C372)=2,SUM(B372:C372),"")</x:f>
        <x:v>454511</x:v>
      </x:c>
      <x:c r="E372" s="44" t="n">
        <x:f>IF(COUNT('台北每日數據'!C372:D372)=2,'台北每日數據'!G372,"")</x:f>
        <x:v>3649</x:v>
      </x:c>
      <x:c r="F372" s="44" t="n">
        <x:f>IF(COUNT('新北每日數據'!C372:D372)=2,'新北每日數據'!G372,"")</x:f>
        <x:v>2026</x:v>
      </x:c>
      <x:c r="G372" s="44" t="n">
        <x:f>IF(COUNT(E372:F372)=2,SUM(E372:F372),"")</x:f>
        <x:v>5675</x:v>
      </x:c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43" t="n">
        <x:f>'台北每日數據'!A373</x:f>
        <x:v>46205</x:v>
      </x:c>
      <x:c r="B373" s="44" t="n">
        <x:f>IF(COUNT('台北每日數據'!C373:D373)=2,'台北每日數據'!B373,"")</x:f>
        <x:v>269361</x:v>
      </x:c>
      <x:c r="C373" s="44" t="n">
        <x:f>IF(COUNT('新北每日數據'!C373:D373)=2,'新北每日數據'!B373,"")</x:f>
        <x:v>150985</x:v>
      </x:c>
      <x:c r="D373" s="44" t="n">
        <x:f>IF(COUNT(B373:C373)=2,SUM(B373:C373),"")</x:f>
        <x:v>420346</x:v>
      </x:c>
      <x:c r="E373" s="44" t="n">
        <x:f>IF(COUNT('台北每日數據'!C373:D373)=2,'台北每日數據'!G373,"")</x:f>
        <x:v>4195</x:v>
      </x:c>
      <x:c r="F373" s="44" t="n">
        <x:f>IF(COUNT('新北每日數據'!C373:D373)=2,'新北每日數據'!G373,"")</x:f>
        <x:v>2011</x:v>
      </x:c>
      <x:c r="G373" s="44" t="n">
        <x:f>IF(COUNT(E373:F373)=2,SUM(E373:F373),"")</x:f>
        <x:v>6206</x:v>
      </x:c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43" t="n">
        <x:f>'台北每日數據'!A374</x:f>
        <x:v>46206</x:v>
      </x:c>
      <x:c r="B374" s="44" t="n">
        <x:f>IF(COUNT('台北每日數據'!C374:D374)=2,'台北每日數據'!B374,"")</x:f>
        <x:v>280200</x:v>
      </x:c>
      <x:c r="C374" s="44" t="n">
        <x:f>IF(COUNT('新北每日數據'!C374:D374)=2,'新北每日數據'!B374,"")</x:f>
        <x:v>156211</x:v>
      </x:c>
      <x:c r="D374" s="44" t="n">
        <x:f>IF(COUNT(B374:C374)=2,SUM(B374:C374),"")</x:f>
        <x:v>436411</x:v>
      </x:c>
      <x:c r="E374" s="44" t="n">
        <x:f>IF(COUNT('台北每日數據'!C374:D374)=2,'台北每日數據'!G374,"")</x:f>
        <x:v>4973</x:v>
      </x:c>
      <x:c r="F374" s="44" t="n">
        <x:f>IF(COUNT('新北每日數據'!C374:D374)=2,'新北每日數據'!G374,"")</x:f>
        <x:v>2260</x:v>
      </x:c>
      <x:c r="G374" s="44" t="n">
        <x:f>IF(COUNT(E374:F374)=2,SUM(E374:F374),"")</x:f>
        <x:v>7233</x:v>
      </x:c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43" t="n">
        <x:f>'台北每日數據'!A375</x:f>
        <x:v>46207</x:v>
      </x:c>
      <x:c r="B375" s="44" t="n">
        <x:f>IF(COUNT('台北每日數據'!C375:D375)=2,'台北每日數據'!B375,"")</x:f>
        <x:v>244588</x:v>
      </x:c>
      <x:c r="C375" s="44" t="n">
        <x:f>IF(COUNT('新北每日數據'!C375:D375)=2,'新北每日數據'!B375,"")</x:f>
        <x:v>156776</x:v>
      </x:c>
      <x:c r="D375" s="44" t="n">
        <x:f>IF(COUNT(B375:C375)=2,SUM(B375:C375),"")</x:f>
        <x:v>401364</x:v>
      </x:c>
      <x:c r="E375" s="44" t="n">
        <x:f>IF(COUNT('台北每日數據'!C375:D375)=2,'台北每日數據'!G375,"")</x:f>
        <x:v>4868</x:v>
      </x:c>
      <x:c r="F375" s="44" t="n">
        <x:f>IF(COUNT('新北每日數據'!C375:D375)=2,'新北每日數據'!G375,"")</x:f>
        <x:v>2618</x:v>
      </x:c>
      <x:c r="G375" s="44" t="n">
        <x:f>IF(COUNT(E375:F375)=2,SUM(E375:F375),"")</x:f>
        <x:v>7486</x:v>
      </x:c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43" t="n">
        <x:f>'台北每日數據'!A376</x:f>
        <x:v>46208</x:v>
      </x:c>
      <x:c r="B376" s="44" t="n">
        <x:f>IF(COUNT('台北每日數據'!C376:D376)=2,'台北每日數據'!B376,"")</x:f>
        <x:v>203827</x:v>
      </x:c>
      <x:c r="C376" s="44" t="n">
        <x:f>IF(COUNT('新北每日數據'!C376:D376)=2,'新北每日數據'!B376,"")</x:f>
        <x:v>138974</x:v>
      </x:c>
      <x:c r="D376" s="44" t="n">
        <x:f>IF(COUNT(B376:C376)=2,SUM(B376:C376),"")</x:f>
        <x:v>342801</x:v>
      </x:c>
      <x:c r="E376" s="44" t="n">
        <x:f>IF(COUNT('台北每日數據'!C376:D376)=2,'台北每日數據'!G376,"")</x:f>
        <x:v>4447</x:v>
      </x:c>
      <x:c r="F376" s="44" t="n">
        <x:f>IF(COUNT('新北每日數據'!C376:D376)=2,'新北每日數據'!G376,"")</x:f>
        <x:v>2397</x:v>
      </x:c>
      <x:c r="G376" s="44" t="n">
        <x:f>IF(COUNT(E376:F376)=2,SUM(E376:F376),"")</x:f>
        <x:v>6844</x:v>
      </x:c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43" t="n">
        <x:f>'台北每日數據'!A377</x:f>
        <x:v>46209</x:v>
      </x:c>
      <x:c r="B377" s="44" t="n">
        <x:f>IF(COUNT('台北每日數據'!C377:D377)=2,'台北每日數據'!B377,"")</x:f>
        <x:v>244006</x:v>
      </x:c>
      <x:c r="C377" s="44" t="n">
        <x:f>IF(COUNT('新北每日數據'!C377:D377)=2,'新北每日數據'!B377,"")</x:f>
        <x:v>146327</x:v>
      </x:c>
      <x:c r="D377" s="44" t="n">
        <x:f>IF(COUNT(B377:C377)=2,SUM(B377:C377),"")</x:f>
        <x:v>390333</x:v>
      </x:c>
      <x:c r="E377" s="44" t="n">
        <x:f>IF(COUNT('台北每日數據'!C377:D377)=2,'台北每日數據'!G377,"")</x:f>
        <x:v>4428</x:v>
      </x:c>
      <x:c r="F377" s="44" t="n">
        <x:f>IF(COUNT('新北每日數據'!C377:D377)=2,'新北每日數據'!G377,"")</x:f>
        <x:v>2313</x:v>
      </x:c>
      <x:c r="G377" s="44" t="n">
        <x:f>IF(COUNT(E377:F377)=2,SUM(E377:F377),"")</x:f>
        <x:v>6741</x:v>
      </x:c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43" t="n">
        <x:f>'台北每日數據'!A378</x:f>
        <x:v>46210</x:v>
      </x:c>
      <x:c r="B378" s="44" t="n">
        <x:f>IF(COUNT('台北每日數據'!C378:D378)=2,'台北每日數據'!B378,"")</x:f>
        <x:v>291473</x:v>
      </x:c>
      <x:c r="C378" s="44" t="n">
        <x:f>IF(COUNT('新北每日數據'!C378:D378)=2,'新北每日數據'!B378,"")</x:f>
        <x:v>157512</x:v>
      </x:c>
      <x:c r="D378" s="44" t="n">
        <x:f>IF(COUNT(B378:C378)=2,SUM(B378:C378),"")</x:f>
        <x:v>448985</x:v>
      </x:c>
      <x:c r="E378" s="44" t="n">
        <x:f>IF(COUNT('台北每日數據'!C378:D378)=2,'台北每日數據'!G378,"")</x:f>
        <x:v>5673</x:v>
      </x:c>
      <x:c r="F378" s="44" t="n">
        <x:f>IF(COUNT('新北每日數據'!C378:D378)=2,'新北每日數據'!G378,"")</x:f>
        <x:v>2488</x:v>
      </x:c>
      <x:c r="G378" s="44" t="n">
        <x:f>IF(COUNT(E378:F378)=2,SUM(E378:F378),"")</x:f>
        <x:v>8161</x:v>
      </x:c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43" t="n">
        <x:f>'台北每日數據'!A379</x:f>
        <x:v>46211</x:v>
      </x:c>
      <x:c r="B379" s="44" t="n">
        <x:f>IF(COUNT('台北每日數據'!C379:D379)=2,'台北每日數據'!B379,"")</x:f>
        <x:v>300105</x:v>
      </x:c>
      <x:c r="C379" s="44" t="n">
        <x:f>IF(COUNT('新北每日數據'!C379:D379)=2,'新北每日數據'!B379,"")</x:f>
        <x:v>165649</x:v>
      </x:c>
      <x:c r="D379" s="44" t="n">
        <x:f>IF(COUNT(B379:C379)=2,SUM(B379:C379),"")</x:f>
        <x:v>465754</x:v>
      </x:c>
      <x:c r="E379" s="44" t="n">
        <x:f>IF(COUNT('台北每日數據'!C379:D379)=2,'台北每日數據'!G379,"")</x:f>
        <x:v>6074</x:v>
      </x:c>
      <x:c r="F379" s="44" t="n">
        <x:f>IF(COUNT('新北每日數據'!C379:D379)=2,'新北每日數據'!G379,"")</x:f>
        <x:v>2606</x:v>
      </x:c>
      <x:c r="G379" s="44" t="n">
        <x:f>IF(COUNT(E379:F379)=2,SUM(E379:F379),"")</x:f>
        <x:v>8680</x:v>
      </x:c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43" t="n">
        <x:f>'台北每日數據'!A380</x:f>
        <x:v>46212</x:v>
      </x:c>
      <x:c r="B380" s="44" t="n">
        <x:f>IF(COUNT('台北每日數據'!C380:D380)=2,'台北每日數據'!B380,"")</x:f>
        <x:v>307281</x:v>
      </x:c>
      <x:c r="C380" s="44" t="n">
        <x:f>IF(COUNT('新北每日數據'!C380:D380)=2,'新北每日數據'!B380,"")</x:f>
        <x:v>169073</x:v>
      </x:c>
      <x:c r="D380" s="44" t="n">
        <x:f>IF(COUNT(B380:C380)=2,SUM(B380:C380),"")</x:f>
        <x:v>476354</x:v>
      </x:c>
      <x:c r="E380" s="44" t="n">
        <x:f>IF(COUNT('台北每日數據'!C380:D380)=2,'台北每日數據'!G380,"")</x:f>
        <x:v>6506</x:v>
      </x:c>
      <x:c r="F380" s="44" t="n">
        <x:f>IF(COUNT('新北每日數據'!C380:D380)=2,'新北每日數據'!G380,"")</x:f>
        <x:v>2664</x:v>
      </x:c>
      <x:c r="G380" s="44" t="n">
        <x:f>IF(COUNT(E380:F380)=2,SUM(E380:F380),"")</x:f>
        <x:v>9170</x:v>
      </x:c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43" t="n">
        <x:f>'台北每日數據'!A381</x:f>
        <x:v>46213</x:v>
      </x:c>
      <x:c r="B381" s="44" t="n">
        <x:f>IF(COUNT('台北每日數據'!C381:D381)=2,'台北每日數據'!B381,"")</x:f>
        <x:v>13607</x:v>
      </x:c>
      <x:c r="C381" s="44" t="n">
        <x:f>IF(COUNT('新北每日數據'!C381:D381)=2,'新北每日數據'!B381,"")</x:f>
        <x:v>9474</x:v>
      </x:c>
      <x:c r="D381" s="44" t="n">
        <x:f>IF(COUNT(B381:C381)=2,SUM(B381:C381),"")</x:f>
        <x:v>23081</x:v>
      </x:c>
      <x:c r="E381" s="44" t="n">
        <x:f>IF(COUNT('台北每日數據'!C381:D381)=2,'台北每日數據'!G381,"")</x:f>
        <x:v>574</x:v>
      </x:c>
      <x:c r="F381" s="44" t="n">
        <x:f>IF(COUNT('新北每日數據'!C381:D381)=2,'新北每日數據'!G381,"")</x:f>
        <x:v>360</x:v>
      </x:c>
      <x:c r="G381" s="44" t="n">
        <x:f>IF(COUNT(E381:F381)=2,SUM(E381:F381),"")</x:f>
        <x:v>934</x:v>
      </x:c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43" t="n">
        <x:f>'台北每日數據'!A382</x:f>
        <x:v>46214</x:v>
      </x:c>
      <x:c r="B382" s="44" t="n">
        <x:f>IF(COUNT('台北每日數據'!C382:D382)=2,'台北每日數據'!B382,"")</x:f>
        <x:v>0</x:v>
      </x:c>
      <x:c r="C382" s="44" t="n">
        <x:f>IF(COUNT('新北每日數據'!C382:D382)=2,'新北每日數據'!B382,"")</x:f>
        <x:v>0</x:v>
      </x:c>
      <x:c r="D382" s="44" t="n">
        <x:f>IF(COUNT(B382:C382)=2,SUM(B382:C382),"")</x:f>
        <x:v>0</x:v>
      </x:c>
      <x:c r="E382" s="44" t="n">
        <x:f>IF(COUNT('台北每日數據'!C382:D382)=2,'台北每日數據'!G382,"")</x:f>
        <x:v>1</x:v>
      </x:c>
      <x:c r="F382" s="44" t="n">
        <x:f>IF(COUNT('新北每日數據'!C382:D382)=2,'新北每日數據'!G382,"")</x:f>
        <x:v>0</x:v>
      </x:c>
      <x:c r="G382" s="44" t="n">
        <x:f>IF(COUNT(E382:F382)=2,SUM(E382:F382),"")</x:f>
        <x:v>1</x:v>
      </x:c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43" t="n">
        <x:f>'台北每日數據'!A383</x:f>
        <x:v>46215</x:v>
      </x:c>
      <x:c r="B383" s="44" t="n">
        <x:f>IF(COUNT('台北每日數據'!C383:D383)=2,'台北每日數據'!B383,"")</x:f>
        <x:v>202840</x:v>
      </x:c>
      <x:c r="C383" s="44" t="n">
        <x:f>IF(COUNT('新北每日數據'!C383:D383)=2,'新北每日數據'!B383,"")</x:f>
        <x:v>131069</x:v>
      </x:c>
      <x:c r="D383" s="44" t="n">
        <x:f>IF(COUNT(B383:C383)=2,SUM(B383:C383),"")</x:f>
        <x:v>333909</x:v>
      </x:c>
      <x:c r="E383" s="44" t="n">
        <x:f>IF(COUNT('台北每日數據'!C383:D383)=2,'台北每日數據'!G383,"")</x:f>
        <x:v>4352</x:v>
      </x:c>
      <x:c r="F383" s="44" t="n">
        <x:f>IF(COUNT('新北每日數據'!C383:D383)=2,'新北每日數據'!G383,"")</x:f>
        <x:v>2032</x:v>
      </x:c>
      <x:c r="G383" s="44" t="n">
        <x:f>IF(COUNT(E383:F383)=2,SUM(E383:F383),"")</x:f>
        <x:v>6384</x:v>
      </x:c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43" t="n">
        <x:f>'台北每日數據'!A384</x:f>
        <x:v>46216</x:v>
      </x:c>
      <x:c r="B384" s="44" t="n">
        <x:f>IF(COUNT('台北每日數據'!C384:D384)=2,'台北每日數據'!B384,"")</x:f>
        <x:v>247396</x:v>
      </x:c>
      <x:c r="C384" s="44" t="n">
        <x:f>IF(COUNT('新北每日數據'!C384:D384)=2,'新北每日數據'!B384,"")</x:f>
        <x:v>112482</x:v>
      </x:c>
      <x:c r="D384" s="44" t="n">
        <x:f>IF(COUNT(B384:C384)=2,SUM(B384:C384),"")</x:f>
        <x:v>359878</x:v>
      </x:c>
      <x:c r="E384" s="44" t="n">
        <x:f>IF(COUNT('台北每日數據'!C384:D384)=2,'台北每日數據'!G384,"")</x:f>
        <x:v>5435</x:v>
      </x:c>
      <x:c r="F384" s="44" t="n">
        <x:f>IF(COUNT('新北每日數據'!C384:D384)=2,'新北每日數據'!G384,"")</x:f>
        <x:v>2134</x:v>
      </x:c>
      <x:c r="G384" s="44" t="n">
        <x:f>IF(COUNT(E384:F384)=2,SUM(E384:F384),"")</x:f>
        <x:v>7569</x:v>
      </x:c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43" t="n">
        <x:f>'台北每日數據'!A385</x:f>
        <x:v>46217</x:v>
      </x:c>
      <x:c r="B385" s="44" t="n">
        <x:f>IF(COUNT('台北每日數據'!C385:D385)=2,'台北每日數據'!B385,"")</x:f>
        <x:v>276324</x:v>
      </x:c>
      <x:c r="C385" s="44" t="n">
        <x:f>IF(COUNT('新北每日數據'!C385:D385)=2,'新北每日數據'!B385,"")</x:f>
        <x:v>147493</x:v>
      </x:c>
      <x:c r="D385" s="44" t="n">
        <x:f>IF(COUNT(B385:C385)=2,SUM(B385:C385),"")</x:f>
        <x:v>423817</x:v>
      </x:c>
      <x:c r="E385" s="44" t="n">
        <x:f>IF(COUNT('台北每日數據'!C385:D385)=2,'台北每日數據'!G385,"")</x:f>
        <x:v>6272</x:v>
      </x:c>
      <x:c r="F385" s="44" t="n">
        <x:f>IF(COUNT('新北每日數據'!C385:D385)=2,'新北每日數據'!G385,"")</x:f>
        <x:v>2373</x:v>
      </x:c>
      <x:c r="G385" s="44" t="n">
        <x:f>IF(COUNT(E385:F385)=2,SUM(E385:F385),"")</x:f>
        <x:v>8645</x:v>
      </x:c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43" t="n">
        <x:f>'台北每日數據'!A386</x:f>
        <x:v>46218</x:v>
      </x:c>
      <x:c r="B386" s="44" t="n">
        <x:f>IF(COUNT('台北每日數據'!C386:D386)=2,'台北每日數據'!B386,"")</x:f>
        <x:v>285432</x:v>
      </x:c>
      <x:c r="C386" s="44" t="n">
        <x:f>IF(COUNT('新北每日數據'!C386:D386)=2,'新北每日數據'!B386,"")</x:f>
        <x:v>152425</x:v>
      </x:c>
      <x:c r="D386" s="44" t="n">
        <x:f>IF(COUNT(B386:C386)=2,SUM(B386:C386),"")</x:f>
        <x:v>437857</x:v>
      </x:c>
      <x:c r="E386" s="44" t="n">
        <x:f>IF(COUNT('台北每日數據'!C386:D386)=2,'台北每日數據'!G386,"")</x:f>
        <x:v>6847</x:v>
      </x:c>
      <x:c r="F386" s="44" t="n">
        <x:f>IF(COUNT('新北每日數據'!C386:D386)=2,'新北每日數據'!G386,"")</x:f>
        <x:v>2841</x:v>
      </x:c>
      <x:c r="G386" s="44" t="n">
        <x:f>IF(COUNT(E386:F386)=2,SUM(E386:F386),"")</x:f>
        <x:v>9688</x:v>
      </x:c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43" t="n">
        <x:f>'台北每日數據'!A387</x:f>
        <x:v>46219</x:v>
      </x:c>
      <x:c r="B387" s="44" t="n">
        <x:f>IF(COUNT('台北每日數據'!C387:D387)=2,'台北每日數據'!B387,"")</x:f>
        <x:v>279917</x:v>
      </x:c>
      <x:c r="C387" s="44" t="n">
        <x:f>IF(COUNT('新北每日數據'!C387:D387)=2,'新北每日數據'!B387,"")</x:f>
        <x:v>157790</x:v>
      </x:c>
      <x:c r="D387" s="44" t="n">
        <x:f>IF(COUNT(B387:C387)=2,SUM(B387:C387),"")</x:f>
        <x:v>437707</x:v>
      </x:c>
      <x:c r="E387" s="44" t="n">
        <x:f>IF(COUNT('台北每日數據'!C387:D387)=2,'台北每日數據'!G387,"")</x:f>
        <x:v>6753</x:v>
      </x:c>
      <x:c r="F387" s="44" t="n">
        <x:f>IF(COUNT('新北每日數據'!C387:D387)=2,'新北每日數據'!G387,"")</x:f>
        <x:v>2657</x:v>
      </x:c>
      <x:c r="G387" s="44" t="n">
        <x:f>IF(COUNT(E387:F387)=2,SUM(E387:F387),"")</x:f>
        <x:v>9410</x:v>
      </x:c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43" t="n">
        <x:f>'台北每日數據'!A388</x:f>
        <x:v>46220</x:v>
      </x:c>
      <x:c r="B388" s="44" t="n">
        <x:f>IF(COUNT('台北每日數據'!C388:D388)=2,'台北每日數據'!B388,"")</x:f>
        <x:v>269555</x:v>
      </x:c>
      <x:c r="C388" s="44" t="n">
        <x:f>IF(COUNT('新北每日數據'!C388:D388)=2,'新北每日數據'!B388,"")</x:f>
        <x:v>158597</x:v>
      </x:c>
      <x:c r="D388" s="44" t="n">
        <x:f>IF(COUNT(B388:C388)=2,SUM(B388:C388),"")</x:f>
        <x:v>428152</x:v>
      </x:c>
      <x:c r="E388" s="44" t="n">
        <x:f>IF(COUNT('台北每日數據'!C388:D388)=2,'台北每日數據'!G388,"")</x:f>
        <x:v>6904</x:v>
      </x:c>
      <x:c r="F388" s="44" t="n">
        <x:f>IF(COUNT('新北每日數據'!C388:D388)=2,'新北每日數據'!G388,"")</x:f>
        <x:v>2712</x:v>
      </x:c>
      <x:c r="G388" s="44" t="n">
        <x:f>IF(COUNT(E388:F388)=2,SUM(E388:F388),"")</x:f>
        <x:v>9616</x:v>
      </x:c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43" t="n">
        <x:f>'台北每日數據'!A389</x:f>
        <x:v>46221</x:v>
      </x:c>
      <x:c r="B389" s="44" t="n">
        <x:f>IF(COUNT('台北每日數據'!C389:D389)=2,'台北每日數據'!B389,"")</x:f>
        <x:v>245640</x:v>
      </x:c>
      <x:c r="C389" s="44" t="n">
        <x:f>IF(COUNT('新北每日數據'!C389:D389)=2,'新北每日數據'!B389,"")</x:f>
        <x:v>151630</x:v>
      </x:c>
      <x:c r="D389" s="44" t="n">
        <x:f>IF(COUNT(B389:C389)=2,SUM(B389:C389),"")</x:f>
        <x:v>397270</x:v>
      </x:c>
      <x:c r="E389" s="44" t="n">
        <x:f>IF(COUNT('台北每日數據'!C389:D389)=2,'台北每日數據'!G389,"")</x:f>
        <x:v>6899</x:v>
      </x:c>
      <x:c r="F389" s="44" t="n">
        <x:f>IF(COUNT('新北每日數據'!C389:D389)=2,'新北每日數據'!G389,"")</x:f>
        <x:v>2836</x:v>
      </x:c>
      <x:c r="G389" s="44" t="n">
        <x:f>IF(COUNT(E389:F389)=2,SUM(E389:F389),"")</x:f>
        <x:v>9735</x:v>
      </x:c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43" t="n">
        <x:f>'台北每日數據'!A390</x:f>
        <x:v>46222</x:v>
      </x:c>
      <x:c r="B390" s="44" t="n">
        <x:f>IF(COUNT('台北每日數據'!C390:D390)=2,'台北每日數據'!B390,"")</x:f>
        <x:v>175717</x:v>
      </x:c>
      <x:c r="C390" s="44" t="n">
        <x:f>IF(COUNT('新北每日數據'!C390:D390)=2,'新北每日數據'!B390,"")</x:f>
        <x:v>104636</x:v>
      </x:c>
      <x:c r="D390" s="44" t="n">
        <x:f>IF(COUNT(B390:C390)=2,SUM(B390:C390),"")</x:f>
        <x:v>280353</x:v>
      </x:c>
      <x:c r="E390" s="44" t="n">
        <x:f>IF(COUNT('台北每日數據'!C390:D390)=2,'台北每日數據'!G390,"")</x:f>
        <x:v>5133</x:v>
      </x:c>
      <x:c r="F390" s="44" t="n">
        <x:f>IF(COUNT('新北每日數據'!C390:D390)=2,'新北每日數據'!G390,"")</x:f>
        <x:v>2198</x:v>
      </x:c>
      <x:c r="G390" s="44" t="n">
        <x:f>IF(COUNT(E390:F390)=2,SUM(E390:F390),"")</x:f>
        <x:v>7331</x:v>
      </x:c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43" t="n">
        <x:f>'台北每日數據'!A391</x:f>
        <x:v>46223</x:v>
      </x:c>
      <x:c r="B391" s="44" t="n">
        <x:f>IF(COUNT('台北每日數據'!C391:D391)=2,'台北每日數據'!B391,"")</x:f>
        <x:v>222284</x:v>
      </x:c>
      <x:c r="C391" s="44" t="n">
        <x:f>IF(COUNT('新北每日數據'!C391:D391)=2,'新北每日數據'!B391,"")</x:f>
        <x:v>123380</x:v>
      </x:c>
      <x:c r="D391" s="44" t="n">
        <x:f>IF(COUNT(B391:C391)=2,SUM(B391:C391),"")</x:f>
        <x:v>345664</x:v>
      </x:c>
      <x:c r="E391" s="44" t="n">
        <x:f>IF(COUNT('台北每日數據'!C391:D391)=2,'台北每日數據'!G391,"")</x:f>
        <x:v>5494</x:v>
      </x:c>
      <x:c r="F391" s="44" t="n">
        <x:f>IF(COUNT('新北每日數據'!C391:D391)=2,'新北每日數據'!G391,"")</x:f>
        <x:v>2376</x:v>
      </x:c>
      <x:c r="G391" s="44" t="n">
        <x:f>IF(COUNT(E391:F391)=2,SUM(E391:F391),"")</x:f>
        <x:v>7870</x:v>
      </x:c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43" t="n">
        <x:f>'台北每日數據'!A392</x:f>
        <x:v>46224</x:v>
      </x:c>
      <x:c r="B392" s="44" t="n">
        <x:f>IF(COUNT('台北每日數據'!C392:D392)=2,'台北每日數據'!B392,"")</x:f>
        <x:v>249808</x:v>
      </x:c>
      <x:c r="C392" s="44" t="n">
        <x:f>IF(COUNT('新北每日數據'!C392:D392)=2,'新北每日數據'!B392,"")</x:f>
        <x:v>130535</x:v>
      </x:c>
      <x:c r="D392" s="44" t="n">
        <x:f>IF(COUNT(B392:C392)=2,SUM(B392:C392),"")</x:f>
        <x:v>380343</x:v>
      </x:c>
      <x:c r="E392" s="44" t="n">
        <x:f>IF(COUNT('台北每日數據'!C392:D392)=2,'台北每日數據'!G392,"")</x:f>
        <x:v>5916</x:v>
      </x:c>
      <x:c r="F392" s="44" t="n">
        <x:f>IF(COUNT('新北每日數據'!C392:D392)=2,'新北每日數據'!G392,"")</x:f>
        <x:v>2501</x:v>
      </x:c>
      <x:c r="G392" s="44" t="n">
        <x:f>IF(COUNT(E392:F392)=2,SUM(E392:F392),"")</x:f>
        <x:v>8417</x:v>
      </x:c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43" t="n">
        <x:f>'台北每日數據'!A393</x:f>
        <x:v>46225</x:v>
      </x:c>
      <x:c r="B393" s="44" t="n">
        <x:f>IF(COUNT('台北每日數據'!C393:D393)=2,'台北每日數據'!B393,"")</x:f>
        <x:v>294158</x:v>
      </x:c>
      <x:c r="C393" s="44" t="n">
        <x:f>IF(COUNT('新北每日數據'!C393:D393)=2,'新北每日數據'!B393,"")</x:f>
        <x:v>159458</x:v>
      </x:c>
      <x:c r="D393" s="44" t="n">
        <x:f>IF(COUNT(B393:C393)=2,SUM(B393:C393),"")</x:f>
        <x:v>453616</x:v>
      </x:c>
      <x:c r="E393" s="44" t="n">
        <x:f>IF(COUNT('台北每日數據'!C393:D393)=2,'台北每日數據'!G393,"")</x:f>
        <x:v>7565</x:v>
      </x:c>
      <x:c r="F393" s="44" t="n">
        <x:f>IF(COUNT('新北每日數據'!C393:D393)=2,'新北每日數據'!G393,"")</x:f>
        <x:v>3021</x:v>
      </x:c>
      <x:c r="G393" s="44" t="n">
        <x:f>IF(COUNT(E393:F393)=2,SUM(E393:F393),"")</x:f>
        <x:v>10586</x:v>
      </x:c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43" t="n">
        <x:f>'台北每日數據'!A394</x:f>
        <x:v>46226</x:v>
      </x:c>
      <x:c r="B394" s="44" t="n">
        <x:f>IF(COUNT('台北每日數據'!C394:D394)=2,'台北每日數據'!B394,"")</x:f>
        <x:v>298620</x:v>
      </x:c>
      <x:c r="C394" s="44" t="n">
        <x:f>IF(COUNT('新北每日數據'!C394:D394)=2,'新北每日數據'!B394,"")</x:f>
        <x:v>161184</x:v>
      </x:c>
      <x:c r="D394" s="44" t="n">
        <x:f>IF(COUNT(B394:C394)=2,SUM(B394:C394),"")</x:f>
        <x:v>459804</x:v>
      </x:c>
      <x:c r="E394" s="44" t="n">
        <x:f>IF(COUNT('台北每日數據'!C394:D394)=2,'台北每日數據'!G394,"")</x:f>
        <x:v>7715</x:v>
      </x:c>
      <x:c r="F394" s="44" t="n">
        <x:f>IF(COUNT('新北每日數據'!C394:D394)=2,'新北每日數據'!G394,"")</x:f>
        <x:v>3055</x:v>
      </x:c>
      <x:c r="G394" s="44" t="n">
        <x:f>IF(COUNT(E394:F394)=2,SUM(E394:F394),"")</x:f>
        <x:v>10770</x:v>
      </x:c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43" t="n">
        <x:f>'台北每日數據'!A395</x:f>
        <x:v>46227</x:v>
      </x:c>
      <x:c r="B395" s="44" t="n">
        <x:f>IF(COUNT('台北每日數據'!C395:D395)=2,'台北每日數據'!B395,"")</x:f>
        <x:v>301673</x:v>
      </x:c>
      <x:c r="C395" s="44" t="n">
        <x:f>IF(COUNT('新北每日數據'!C395:D395)=2,'新北每日數據'!B395,"")</x:f>
        <x:v>165705</x:v>
      </x:c>
      <x:c r="D395" s="44" t="n">
        <x:f>IF(COUNT(B395:C395)=2,SUM(B395:C395),"")</x:f>
        <x:v>467378</x:v>
      </x:c>
      <x:c r="E395" s="44" t="n">
        <x:f>IF(COUNT('台北每日數據'!C395:D395)=2,'台北每日數據'!G395,"")</x:f>
        <x:v>7933</x:v>
      </x:c>
      <x:c r="F395" s="44" t="n">
        <x:f>IF(COUNT('新北每日數據'!C395:D395)=2,'新北每日數據'!G395,"")</x:f>
        <x:v>3121</x:v>
      </x:c>
      <x:c r="G395" s="44" t="n">
        <x:f>IF(COUNT(E395:F395)=2,SUM(E395:F395),"")</x:f>
        <x:v>11054</x:v>
      </x:c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43" t="n">
        <x:f>'台北每日數據'!A396</x:f>
        <x:v>46228</x:v>
      </x:c>
      <x:c r="B396" s="44" t="n">
        <x:f>IF(COUNT('台北每日數據'!C396:D396)=2,'台北每日數據'!B396,"")</x:f>
        <x:v>253694</x:v>
      </x:c>
      <x:c r="C396" s="44" t="n">
        <x:f>IF(COUNT('新北每日數據'!C396:D396)=2,'新北每日數據'!B396,"")</x:f>
        <x:v>157669</x:v>
      </x:c>
      <x:c r="D396" s="44" t="n">
        <x:f>IF(COUNT(B396:C396)=2,SUM(B396:C396),"")</x:f>
        <x:v>411363</x:v>
      </x:c>
      <x:c r="E396" s="44" t="n">
        <x:f>IF(COUNT('台北每日數據'!C396:D396)=2,'台北每日數據'!G396,"")</x:f>
        <x:v>7271</x:v>
      </x:c>
      <x:c r="F396" s="44" t="n">
        <x:f>IF(COUNT('新北每日數據'!C396:D396)=2,'新北每日數據'!G396,"")</x:f>
        <x:v>3020</x:v>
      </x:c>
      <x:c r="G396" s="44" t="n">
        <x:f>IF(COUNT(E396:F396)=2,SUM(E396:F396),"")</x:f>
        <x:v>10291</x:v>
      </x:c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43" t="n">
        <x:f>'台北每日數據'!A397</x:f>
        <x:v>46229</x:v>
      </x:c>
      <x:c r="B397" s="44" t="n">
        <x:f>IF(COUNT('台北每日數據'!C397:D397)=2,'台北每日數據'!B397,"")</x:f>
        <x:v>226118</x:v>
      </x:c>
      <x:c r="C397" s="44" t="n">
        <x:f>IF(COUNT('新北每日數據'!C397:D397)=2,'新北每日數據'!B397,"")</x:f>
        <x:v>143885</x:v>
      </x:c>
      <x:c r="D397" s="44" t="n">
        <x:f>IF(COUNT(B397:C397)=2,SUM(B397:C397),"")</x:f>
        <x:v>370003</x:v>
      </x:c>
      <x:c r="E397" s="44" t="n">
        <x:f>IF(COUNT('台北每日數據'!C397:D397)=2,'台北每日數據'!G397,"")</x:f>
        <x:v>6581</x:v>
      </x:c>
      <x:c r="F397" s="44" t="n">
        <x:f>IF(COUNT('新北每日數據'!C397:D397)=2,'新北每日數據'!G397,"")</x:f>
        <x:v>2996</x:v>
      </x:c>
      <x:c r="G397" s="44" t="n">
        <x:f>IF(COUNT(E397:F397)=2,SUM(E397:F397),"")</x:f>
        <x:v>9577</x:v>
      </x:c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43" t="n">
        <x:f>'台北每日數據'!A398</x:f>
        <x:v>46230</x:v>
      </x:c>
      <x:c r="B398" s="44" t="n">
        <x:f>IF(COUNT('台北每日數據'!C398:D398)=2,'台北每日數據'!B398,"")</x:f>
        <x:v>282266</x:v>
      </x:c>
      <x:c r="C398" s="44" t="n">
        <x:f>IF(COUNT('新北每日數據'!C398:D398)=2,'新北每日數據'!B398,"")</x:f>
        <x:v>141525</x:v>
      </x:c>
      <x:c r="D398" s="44" t="n">
        <x:f>IF(COUNT(B398:C398)=2,SUM(B398:C398),"")</x:f>
        <x:v>423791</x:v>
      </x:c>
      <x:c r="E398" s="44" t="n">
        <x:f>IF(COUNT('台北每日數據'!C398:D398)=2,'台北每日數據'!G398,"")</x:f>
        <x:v>7460</x:v>
      </x:c>
      <x:c r="F398" s="44" t="n">
        <x:f>IF(COUNT('新北每日數據'!C398:D398)=2,'新北每日數據'!G398,"")</x:f>
        <x:v>3008</x:v>
      </x:c>
      <x:c r="G398" s="44" t="n">
        <x:f>IF(COUNT(E398:F398)=2,SUM(E398:F398),"")</x:f>
        <x:v>10468</x:v>
      </x:c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43" t="n">
        <x:f>'台北每日數據'!A399</x:f>
        <x:v>46231</x:v>
      </x:c>
      <x:c r="B399" s="44" t="n">
        <x:f>IF(COUNT('台北每日數據'!C399:D399)=2,'台北每日數據'!B399,"")</x:f>
        <x:v>287877</x:v>
      </x:c>
      <x:c r="C399" s="44" t="n">
        <x:f>IF(COUNT('新北每日數據'!C399:D399)=2,'新北每日數據'!B399,"")</x:f>
        <x:v>153587</x:v>
      </x:c>
      <x:c r="D399" s="44" t="n">
        <x:f>IF(COUNT(B399:C399)=2,SUM(B399:C399),"")</x:f>
        <x:v>441464</x:v>
      </x:c>
      <x:c r="E399" s="44" t="n">
        <x:f>IF(COUNT('台北每日數據'!C399:D399)=2,'台北每日數據'!G399,"")</x:f>
        <x:v>8094</x:v>
      </x:c>
      <x:c r="F399" s="44" t="n">
        <x:f>IF(COUNT('新北每日數據'!C399:D399)=2,'新北每日數據'!G399,"")</x:f>
        <x:v>3184</x:v>
      </x:c>
      <x:c r="G399" s="44" t="n">
        <x:f>IF(COUNT(E399:F399)=2,SUM(E399:F399),"")</x:f>
        <x:v>11278</x:v>
      </x:c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43" t="n">
        <x:f>'台北每日數據'!A400</x:f>
        <x:v>46232</x:v>
      </x:c>
      <x:c r="B400" s="44" t="n">
        <x:f>IF(COUNT('台北每日數據'!C400:D400)=2,'台北每日數據'!B400,"")</x:f>
        <x:v>300126</x:v>
      </x:c>
      <x:c r="C400" s="44" t="n">
        <x:f>IF(COUNT('新北每日數據'!C400:D400)=2,'新北每日數據'!B400,"")</x:f>
        <x:v>160823</x:v>
      </x:c>
      <x:c r="D400" s="44" t="n">
        <x:f>IF(COUNT(B400:C400)=2,SUM(B400:C400),"")</x:f>
        <x:v>460949</x:v>
      </x:c>
      <x:c r="E400" s="44" t="n">
        <x:f>IF(COUNT('台北每日數據'!C400:D400)=2,'台北每日數據'!G400,"")</x:f>
        <x:v>8417</x:v>
      </x:c>
      <x:c r="F400" s="44" t="n">
        <x:f>IF(COUNT('新北每日數據'!C400:D400)=2,'新北每日數據'!G400,"")</x:f>
        <x:v>3405</x:v>
      </x:c>
      <x:c r="G400" s="44" t="n">
        <x:f>IF(COUNT(E400:F400)=2,SUM(E400:F400),"")</x:f>
        <x:v>11822</x:v>
      </x:c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43" t="n">
        <x:f>'台北每日數據'!A401</x:f>
        <x:v>46233</x:v>
      </x:c>
      <x:c r="B401" s="44" t="n">
        <x:f>IF(COUNT('台北每日數據'!C401:D401)=2,'台北每日數據'!B401,"")</x:f>
        <x:v>305082</x:v>
      </x:c>
      <x:c r="C401" s="44" t="n">
        <x:f>IF(COUNT('新北每日數據'!C401:D401)=2,'新北每日數據'!B401,"")</x:f>
        <x:v>163110</x:v>
      </x:c>
      <x:c r="D401" s="44" t="n">
        <x:f>IF(COUNT(B401:C401)=2,SUM(B401:C401),"")</x:f>
        <x:v>468192</x:v>
      </x:c>
      <x:c r="E401" s="44" t="n">
        <x:f>IF(COUNT('台北每日數據'!C401:D401)=2,'台北每日數據'!G401,"")</x:f>
        <x:v>8842</x:v>
      </x:c>
      <x:c r="F401" s="44" t="n">
        <x:f>IF(COUNT('新北每日數據'!C401:D401)=2,'新北每日數據'!G401,"")</x:f>
        <x:v>3473</x:v>
      </x:c>
      <x:c r="G401" s="44" t="n">
        <x:f>IF(COUNT(E401:F401)=2,SUM(E401:F401),"")</x:f>
        <x:v>12315</x:v>
      </x:c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43" t="n">
        <x:f>'台北每日數據'!A402</x:f>
        <x:v>46234</x:v>
      </x:c>
      <x:c r="B402" s="44" t="n">
        <x:f>IF(COUNT('台北每日數據'!C402:D402)=2,'台北每日數據'!B402,"")</x:f>
        <x:v>305126</x:v>
      </x:c>
      <x:c r="C402" s="44" t="n">
        <x:f>IF(COUNT('新北每日數據'!C402:D402)=2,'新北每日數據'!B402,"")</x:f>
        <x:v>168188</x:v>
      </x:c>
      <x:c r="D402" s="44" t="n">
        <x:f>IF(COUNT(B402:C402)=2,SUM(B402:C402),"")</x:f>
        <x:v>473314</x:v>
      </x:c>
      <x:c r="E402" s="44" t="n">
        <x:f>IF(COUNT('台北每日數據'!C402:D402)=2,'台北每日數據'!G402,"")</x:f>
        <x:v>9226</x:v>
      </x:c>
      <x:c r="F402" s="44" t="n">
        <x:f>IF(COUNT('新北每日數據'!C402:D402)=2,'新北每日數據'!G402,"")</x:f>
        <x:v>3632</x:v>
      </x:c>
      <x:c r="G402" s="44" t="n">
        <x:f>IF(COUNT(E402:F402)=2,SUM(E402:F402),"")</x:f>
        <x:v>12858</x:v>
      </x:c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43" t="n">
        <x:f>'台北每日數據'!A403</x:f>
        <x:v>46235</x:v>
      </x:c>
      <x:c r="B403" s="44" t="n">
        <x:f>IF(COUNT('台北每日數據'!C403:D403)=2,'台北每日數據'!B403,"")</x:f>
        <x:v>246301</x:v>
      </x:c>
      <x:c r="C403" s="44" t="n">
        <x:f>IF(COUNT('新北每日數據'!C403:D403)=2,'新北每日數據'!B403,"")</x:f>
        <x:v>157650</x:v>
      </x:c>
      <x:c r="D403" s="44" t="n">
        <x:f>IF(COUNT(B403:C403)=2,SUM(B403:C403),"")</x:f>
        <x:v>403951</x:v>
      </x:c>
      <x:c r="E403" s="44" t="n">
        <x:f>IF(COUNT('台北每日數據'!C403:D403)=2,'台北每日數據'!G403,"")</x:f>
        <x:v>7902</x:v>
      </x:c>
      <x:c r="F403" s="44" t="n">
        <x:f>IF(COUNT('新北每日數據'!C403:D403)=2,'新北每日數據'!G403,"")</x:f>
        <x:v>3238</x:v>
      </x:c>
      <x:c r="G403" s="44" t="n">
        <x:f>IF(COUNT(E403:F403)=2,SUM(E403:F403),"")</x:f>
        <x:v>11140</x:v>
      </x:c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43" t="n">
        <x:f>'台北每日數據'!A404</x:f>
        <x:v>46236</x:v>
      </x:c>
      <x:c r="B404" s="44" t="n">
        <x:f>IF(COUNT('台北每日數據'!C404:D404)=2,'台北每日數據'!B404,"")</x:f>
        <x:v>221550</x:v>
      </x:c>
      <x:c r="C404" s="44" t="n">
        <x:f>IF(COUNT('新北每日數據'!C404:D404)=2,'新北每日數據'!B404,"")</x:f>
        <x:v>142597</x:v>
      </x:c>
      <x:c r="D404" s="44" t="n">
        <x:f>IF(COUNT(B404:C404)=2,SUM(B404:C404),"")</x:f>
        <x:v>364147</x:v>
      </x:c>
      <x:c r="E404" s="44" t="n">
        <x:f>IF(COUNT('台北每日數據'!C404:D404)=2,'台北每日數據'!G404,"")</x:f>
        <x:v>6998</x:v>
      </x:c>
      <x:c r="F404" s="44" t="n">
        <x:f>IF(COUNT('新北每日數據'!C404:D404)=2,'新北每日數據'!G404,"")</x:f>
        <x:v>3117</x:v>
      </x:c>
      <x:c r="G404" s="44" t="n">
        <x:f>IF(COUNT(E404:F404)=2,SUM(E404:F404),"")</x:f>
        <x:v>10115</x:v>
      </x:c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43" t="n">
        <x:f>'台北每日數據'!A405</x:f>
        <x:v>46237</x:v>
      </x:c>
      <x:c r="B405" s="44" t="n">
        <x:f>IF(COUNT('台北每日數據'!C405:D405)=2,'台北每日數據'!B405,"")</x:f>
        <x:v>282607</x:v>
      </x:c>
      <x:c r="C405" s="44" t="n">
        <x:f>IF(COUNT('新北每日數據'!C405:D405)=2,'新北每日數據'!B405,"")</x:f>
        <x:v>157111</x:v>
      </x:c>
      <x:c r="D405" s="44" t="n">
        <x:f>IF(COUNT(B405:C405)=2,SUM(B405:C405),"")</x:f>
        <x:v>439718</x:v>
      </x:c>
      <x:c r="E405" s="44" t="n">
        <x:f>IF(COUNT('台北每日數據'!C405:D405)=2,'台北每日數據'!G405,"")</x:f>
        <x:v>7850</x:v>
      </x:c>
      <x:c r="F405" s="44" t="n">
        <x:f>IF(COUNT('新北每日數據'!C405:D405)=2,'新北每日數據'!G405,"")</x:f>
        <x:v>3360</x:v>
      </x:c>
      <x:c r="G405" s="44" t="n">
        <x:f>IF(COUNT(E405:F405)=2,SUM(E405:F405),"")</x:f>
        <x:v>11210</x:v>
      </x:c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43" t="n">
        <x:f>'台北每日數據'!A406</x:f>
        <x:v>46238</x:v>
      </x:c>
      <x:c r="B406" s="44" t="n">
        <x:f>IF(COUNT('台北每日數據'!C406:D406)=2,'台北每日數據'!B406,"")</x:f>
        <x:v>295340</x:v>
      </x:c>
      <x:c r="C406" s="44" t="n">
        <x:f>IF(COUNT('新北每日數據'!C406:D406)=2,'新北每日數據'!B406,"")</x:f>
        <x:v>161807</x:v>
      </x:c>
      <x:c r="D406" s="44" t="n">
        <x:f>IF(COUNT(B406:C406)=2,SUM(B406:C406),"")</x:f>
        <x:v>457147</x:v>
      </x:c>
      <x:c r="E406" s="44" t="n">
        <x:f>IF(COUNT('台北每日數據'!C406:D406)=2,'台北每日數據'!G406,"")</x:f>
        <x:v>8412</x:v>
      </x:c>
      <x:c r="F406" s="44" t="n">
        <x:f>IF(COUNT('新北每日數據'!C406:D406)=2,'新北每日數據'!G406,"")</x:f>
        <x:v>3509</x:v>
      </x:c>
      <x:c r="G406" s="44" t="n">
        <x:f>IF(COUNT(E406:F406)=2,SUM(E406:F406),"")</x:f>
        <x:v>11921</x:v>
      </x:c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43" t="n">
        <x:f>'台北每日數據'!A407</x:f>
        <x:v>46239</x:v>
      </x:c>
      <x:c r="B407" s="44" t="n">
        <x:f>IF(COUNT('台北每日數據'!C407:D407)=2,'台北每日數據'!B407,"")</x:f>
        <x:v>303120</x:v>
      </x:c>
      <x:c r="C407" s="44" t="n">
        <x:f>IF(COUNT('新北每日數據'!C407:D407)=2,'新北每日數據'!B407,"")</x:f>
        <x:v>166795</x:v>
      </x:c>
      <x:c r="D407" s="44" t="n">
        <x:f>IF(COUNT(B407:C407)=2,SUM(B407:C407),"")</x:f>
        <x:v>469915</x:v>
      </x:c>
      <x:c r="E407" s="44" t="n">
        <x:f>IF(COUNT('台北每日數據'!C407:D407)=2,'台北每日數據'!G407,"")</x:f>
        <x:v>8656</x:v>
      </x:c>
      <x:c r="F407" s="44" t="n">
        <x:f>IF(COUNT('新北每日數據'!C407:D407)=2,'新北每日數據'!G407,"")</x:f>
        <x:v>3440</x:v>
      </x:c>
      <x:c r="G407" s="44" t="n">
        <x:f>IF(COUNT(E407:F407)=2,SUM(E407:F407),"")</x:f>
        <x:v>12096</x:v>
      </x:c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43" t="n">
        <x:f>'台北每日數據'!A408</x:f>
        <x:v>46240</x:v>
      </x:c>
      <x:c r="B408" s="44" t="n">
        <x:f>IF(COUNT('台北每日數據'!C408:D408)=2,'台北每日數據'!B408,"")</x:f>
        <x:v>291543</x:v>
      </x:c>
      <x:c r="C408" s="44" t="n">
        <x:f>IF(COUNT('新北每日數據'!C408:D408)=2,'新北每日數據'!B408,"")</x:f>
        <x:v>158424</x:v>
      </x:c>
      <x:c r="D408" s="44" t="n">
        <x:f>IF(COUNT(B408:C408)=2,SUM(B408:C408),"")</x:f>
        <x:v>449967</x:v>
      </x:c>
      <x:c r="E408" s="44" t="n">
        <x:f>IF(COUNT('台北每日數據'!C408:D408)=2,'台北每日數據'!G408,"")</x:f>
        <x:v>8579</x:v>
      </x:c>
      <x:c r="F408" s="44" t="n">
        <x:f>IF(COUNT('新北每日數據'!C408:D408)=2,'新北每日數據'!G408,"")</x:f>
        <x:v>3247</x:v>
      </x:c>
      <x:c r="G408" s="44" t="n">
        <x:f>IF(COUNT(E408:F408)=2,SUM(E408:F408),"")</x:f>
        <x:v>11826</x:v>
      </x:c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43" t="n">
        <x:f>'台北每日數據'!A409</x:f>
        <x:v>46241</x:v>
      </x:c>
      <x:c r="B409" s="44" t="n">
        <x:f>IF(COUNT('台北每日數據'!C409:D409)=2,'台北每日數據'!B409,"")</x:f>
        <x:v>296277</x:v>
      </x:c>
      <x:c r="C409" s="44" t="n">
        <x:f>IF(COUNT('新北每日數據'!C409:D409)=2,'新北每日數據'!B409,"")</x:f>
        <x:v>167487</x:v>
      </x:c>
      <x:c r="D409" s="44" t="n">
        <x:f>IF(COUNT(B409:C409)=2,SUM(B409:C409),"")</x:f>
        <x:v>463764</x:v>
      </x:c>
      <x:c r="E409" s="44" t="n">
        <x:f>IF(COUNT('台北每日數據'!C409:D409)=2,'台北每日數據'!G409,"")</x:f>
        <x:v>8866</x:v>
      </x:c>
      <x:c r="F409" s="44" t="n">
        <x:f>IF(COUNT('新北每日數據'!C409:D409)=2,'新北每日數據'!G409,"")</x:f>
        <x:v>3188</x:v>
      </x:c>
      <x:c r="G409" s="44" t="n">
        <x:f>IF(COUNT(E409:F409)=2,SUM(E409:F409),"")</x:f>
        <x:v>12054</x:v>
      </x:c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43" t="n">
        <x:f>'台北每日數據'!A410</x:f>
        <x:v>46242</x:v>
      </x:c>
      <x:c r="B410" s="44" t="n">
        <x:f>IF(COUNT('台北每日數據'!C410:D410)=2,'台北每日數據'!B410,"")</x:f>
        <x:v>141337</x:v>
      </x:c>
      <x:c r="C410" s="44" t="n">
        <x:f>IF(COUNT('新北每日數據'!C410:D410)=2,'新北每日數據'!B410,"")</x:f>
        <x:v>108509</x:v>
      </x:c>
      <x:c r="D410" s="44" t="n">
        <x:f>IF(COUNT(B410:C410)=2,SUM(B410:C410),"")</x:f>
        <x:v>249846</x:v>
      </x:c>
      <x:c r="E410" s="44" t="n">
        <x:f>IF(COUNT('台北每日數據'!C410:D410)=2,'台北每日數據'!G410,"")</x:f>
        <x:v>5809</x:v>
      </x:c>
      <x:c r="F410" s="44" t="n">
        <x:f>IF(COUNT('新北每日數據'!C410:D410)=2,'新北每日數據'!G410,"")</x:f>
        <x:v>2574</x:v>
      </x:c>
      <x:c r="G410" s="44" t="n">
        <x:f>IF(COUNT(E410:F410)=2,SUM(E410:F410),"")</x:f>
        <x:v>8383</x:v>
      </x:c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43" t="n">
        <x:f>'台北每日數據'!A411</x:f>
        <x:v>46243</x:v>
      </x:c>
      <x:c r="B411" s="44" t="n">
        <x:f>IF(COUNT('台北每日數據'!C411:D411)=2,'台北每日數據'!B411,"")</x:f>
        <x:v>110086</x:v>
      </x:c>
      <x:c r="C411" s="44" t="n">
        <x:f>IF(COUNT('新北每日數據'!C411:D411)=2,'新北每日數據'!B411,"")</x:f>
        <x:v>61676</x:v>
      </x:c>
      <x:c r="D411" s="44" t="n">
        <x:f>IF(COUNT(B411:C411)=2,SUM(B411:C411),"")</x:f>
        <x:v>171762</x:v>
      </x:c>
      <x:c r="E411" s="44" t="n">
        <x:f>IF(COUNT('台北每日數據'!C411:D411)=2,'台北每日數據'!G411,"")</x:f>
        <x:v>3534</x:v>
      </x:c>
      <x:c r="F411" s="44" t="n">
        <x:f>IF(COUNT('新北每日數據'!C411:D411)=2,'新北每日數據'!G411,"")</x:f>
        <x:v>1161</x:v>
      </x:c>
      <x:c r="G411" s="44" t="n">
        <x:f>IF(COUNT(E411:F411)=2,SUM(E411:F411),"")</x:f>
        <x:v>4695</x:v>
      </x:c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43" t="n">
        <x:f>'台北每日數據'!A412</x:f>
        <x:v>46244</x:v>
      </x:c>
      <x:c r="B412" s="44" t="n">
        <x:f>IF(COUNT('台北每日數據'!C412:D412)=2,'台北每日數據'!B412,"")</x:f>
        <x:v>230588</x:v>
      </x:c>
      <x:c r="C412" s="44" t="n">
        <x:f>IF(COUNT('新北每日數據'!C412:D412)=2,'新北每日數據'!B412,"")</x:f>
        <x:v>133943</x:v>
      </x:c>
      <x:c r="D412" s="44" t="n">
        <x:f>IF(COUNT(B412:C412)=2,SUM(B412:C412),"")</x:f>
        <x:v>364531</x:v>
      </x:c>
      <x:c r="E412" s="44" t="n">
        <x:f>IF(COUNT('台北每日數據'!C412:D412)=2,'台北每日數據'!G412,"")</x:f>
        <x:v>7929</x:v>
      </x:c>
      <x:c r="F412" s="44" t="n">
        <x:f>IF(COUNT('新北每日數據'!C412:D412)=2,'新北每日數據'!G412,"")</x:f>
        <x:v>3246</x:v>
      </x:c>
      <x:c r="G412" s="44" t="n">
        <x:f>IF(COUNT(E412:F412)=2,SUM(E412:F412),"")</x:f>
        <x:v>11175</x:v>
      </x:c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43" t="n">
        <x:f>'台北每日數據'!A413</x:f>
        <x:v>46245</x:v>
      </x:c>
      <x:c r="B413" s="44" t="n">
        <x:f>IF(COUNT('台北每日數據'!C413:D413)=2,'台北每日數據'!B413,"")</x:f>
        <x:v>289004</x:v>
      </x:c>
      <x:c r="C413" s="44" t="n">
        <x:f>IF(COUNT('新北每日數據'!C413:D413)=2,'新北每日數據'!B413,"")</x:f>
        <x:v>158308</x:v>
      </x:c>
      <x:c r="D413" s="44" t="n">
        <x:f>IF(COUNT(B413:C413)=2,SUM(B413:C413),"")</x:f>
        <x:v>447312</x:v>
      </x:c>
      <x:c r="E413" s="44" t="n">
        <x:f>IF(COUNT('台北每日數據'!C413:D413)=2,'台北每日數據'!G413,"")</x:f>
        <x:v>8967</x:v>
      </x:c>
      <x:c r="F413" s="44" t="n">
        <x:f>IF(COUNT('新北每日數據'!C413:D413)=2,'新北每日數據'!G413,"")</x:f>
        <x:v>3526</x:v>
      </x:c>
      <x:c r="G413" s="44" t="n">
        <x:f>IF(COUNT(E413:F413)=2,SUM(E413:F413),"")</x:f>
        <x:v>12493</x:v>
      </x:c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43" t="n">
        <x:f>'台北每日數據'!A414</x:f>
        <x:v>46246</x:v>
      </x:c>
      <x:c r="B414" s="44" t="n">
        <x:f>IF(COUNT('台北每日數據'!C414:D414)=2,'台北每日數據'!B414,"")</x:f>
        <x:v>296832</x:v>
      </x:c>
      <x:c r="C414" s="44" t="n">
        <x:f>IF(COUNT('新北每日數據'!C414:D414)=2,'新北每日數據'!B414,"")</x:f>
        <x:v>164712</x:v>
      </x:c>
      <x:c r="D414" s="44" t="n">
        <x:f>IF(COUNT(B414:C414)=2,SUM(B414:C414),"")</x:f>
        <x:v>461544</x:v>
      </x:c>
      <x:c r="E414" s="44" t="n">
        <x:f>IF(COUNT('台北每日數據'!C414:D414)=2,'台北每日數據'!G414,"")</x:f>
        <x:v>9264</x:v>
      </x:c>
      <x:c r="F414" s="44" t="n">
        <x:f>IF(COUNT('新北每日數據'!C414:D414)=2,'新北每日數據'!G414,"")</x:f>
        <x:v>3550</x:v>
      </x:c>
      <x:c r="G414" s="44" t="n">
        <x:f>IF(COUNT(E414:F414)=2,SUM(E414:F414),"")</x:f>
        <x:v>12814</x:v>
      </x:c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43" t="n">
        <x:f>'台北每日數據'!A415</x:f>
        <x:v>46247</x:v>
      </x:c>
      <x:c r="B415" s="44" t="n">
        <x:f>IF(COUNT('台北每日數據'!C415:D415)=2,'台北每日數據'!B415,"")</x:f>
        <x:v>285267</x:v>
      </x:c>
      <x:c r="C415" s="44" t="n">
        <x:f>IF(COUNT('新北每日數據'!C415:D415)=2,'新北每日數據'!B415,"")</x:f>
        <x:v>161449</x:v>
      </x:c>
      <x:c r="D415" s="44" t="n">
        <x:f>IF(COUNT(B415:C415)=2,SUM(B415:C415),"")</x:f>
        <x:v>446716</x:v>
      </x:c>
      <x:c r="E415" s="44" t="n">
        <x:f>IF(COUNT('台北每日數據'!C415:D415)=2,'台北每日數據'!G415,"")</x:f>
        <x:v>8658</x:v>
      </x:c>
      <x:c r="F415" s="44" t="n">
        <x:f>IF(COUNT('新北每日數據'!C415:D415)=2,'新北每日數據'!G415,"")</x:f>
        <x:v>3304</x:v>
      </x:c>
      <x:c r="G415" s="44" t="n">
        <x:f>IF(COUNT(E415:F415)=2,SUM(E415:F415),"")</x:f>
        <x:v>11962</x:v>
      </x:c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43" t="n">
        <x:f>'台北每日數據'!A416</x:f>
        <x:v>46248</x:v>
      </x:c>
      <x:c r="B416" s="44" t="n">
        <x:f>IF(COUNT('台北每日數據'!C416:D416)=2,'台北每日數據'!B416,"")</x:f>
        <x:v>268295</x:v>
      </x:c>
      <x:c r="C416" s="44" t="n">
        <x:f>IF(COUNT('新北每日數據'!C416:D416)=2,'新北每日數據'!B416,"")</x:f>
        <x:v>160013</x:v>
      </x:c>
      <x:c r="D416" s="44" t="n">
        <x:f>IF(COUNT(B416:C416)=2,SUM(B416:C416),"")</x:f>
        <x:v>428308</x:v>
      </x:c>
      <x:c r="E416" s="44" t="n">
        <x:f>IF(COUNT('台北每日數據'!C416:D416)=2,'台北每日數據'!G416,"")</x:f>
        <x:v>8627</x:v>
      </x:c>
      <x:c r="F416" s="44" t="n">
        <x:f>IF(COUNT('新北每日數據'!C416:D416)=2,'新北每日數據'!G416,"")</x:f>
        <x:v>3314</x:v>
      </x:c>
      <x:c r="G416" s="44" t="n">
        <x:f>IF(COUNT(E416:F416)=2,SUM(E416:F416),"")</x:f>
        <x:v>11941</x:v>
      </x:c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43" t="n">
        <x:f>'台北每日數據'!A417</x:f>
        <x:v>46249</x:v>
      </x:c>
      <x:c r="B417" s="44" t="n">
        <x:f>IF(COUNT('台北每日數據'!C417:D417)=2,'台北每日數據'!B417,"")</x:f>
        <x:v>198163</x:v>
      </x:c>
      <x:c r="C417" s="44" t="n">
        <x:f>IF(COUNT('新北每日數據'!C417:D417)=2,'新北每日數據'!B417,"")</x:f>
        <x:v>135789</x:v>
      </x:c>
      <x:c r="D417" s="44" t="n">
        <x:f>IF(COUNT(B417:C417)=2,SUM(B417:C417),"")</x:f>
        <x:v>333952</x:v>
      </x:c>
      <x:c r="E417" s="44" t="n">
        <x:f>IF(COUNT('台北每日數據'!C417:D417)=2,'台北每日數據'!G417,"")</x:f>
        <x:v>7326</x:v>
      </x:c>
      <x:c r="F417" s="44" t="n">
        <x:f>IF(COUNT('新北每日數據'!C417:D417)=2,'新北每日數據'!G417,"")</x:f>
        <x:v>2913</x:v>
      </x:c>
      <x:c r="G417" s="44" t="n">
        <x:f>IF(COUNT(E417:F417)=2,SUM(E417:F417),"")</x:f>
        <x:v>10239</x:v>
      </x:c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43" t="n">
        <x:f>'台北每日數據'!A418</x:f>
        <x:v>46250</x:v>
      </x:c>
      <x:c r="B418" s="44" t="n">
        <x:f>IF(COUNT('台北每日數據'!C418:D418)=2,'台北每日數據'!B418,"")</x:f>
        <x:v>203155</x:v>
      </x:c>
      <x:c r="C418" s="44" t="n">
        <x:f>IF(COUNT('新北每日數據'!C418:D418)=2,'新北每日數據'!B418,"")</x:f>
        <x:v>120249</x:v>
      </x:c>
      <x:c r="D418" s="44" t="n">
        <x:f>IF(COUNT(B418:C418)=2,SUM(B418:C418),"")</x:f>
        <x:v>323404</x:v>
      </x:c>
      <x:c r="E418" s="44" t="n">
        <x:f>IF(COUNT('台北每日數據'!C418:D418)=2,'台北每日數據'!G418,"")</x:f>
        <x:v>7403</x:v>
      </x:c>
      <x:c r="F418" s="44" t="n">
        <x:f>IF(COUNT('新北每日數據'!C418:D418)=2,'新北每日數據'!G418,"")</x:f>
        <x:v>2669</x:v>
      </x:c>
      <x:c r="G418" s="44" t="n">
        <x:f>IF(COUNT(E418:F418)=2,SUM(E418:F418),"")</x:f>
        <x:v>10072</x:v>
      </x:c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43" t="n">
        <x:f>'台北每日數據'!A419</x:f>
        <x:v>46251</x:v>
      </x:c>
      <x:c r="B419" s="44" t="n">
        <x:f>IF(COUNT('台北每日數據'!C419:D419)=2,'台北每日數據'!B419,"")</x:f>
        <x:v>288900</x:v>
      </x:c>
      <x:c r="C419" s="44" t="n">
        <x:f>IF(COUNT('新北每日數據'!C419:D419)=2,'新北每日數據'!B419,"")</x:f>
        <x:v>159672</x:v>
      </x:c>
      <x:c r="D419" s="44" t="n">
        <x:f>IF(COUNT(B419:C419)=2,SUM(B419:C419),"")</x:f>
        <x:v>448572</x:v>
      </x:c>
      <x:c r="E419" s="44" t="n">
        <x:f>IF(COUNT('台北每日數據'!C419:D419)=2,'台北每日數據'!G419,"")</x:f>
        <x:v>9045</x:v>
      </x:c>
      <x:c r="F419" s="44" t="n">
        <x:f>IF(COUNT('新北每日數據'!C419:D419)=2,'新北每日數據'!G419,"")</x:f>
        <x:v>3381</x:v>
      </x:c>
      <x:c r="G419" s="44" t="n">
        <x:f>IF(COUNT(E419:F419)=2,SUM(E419:F419),"")</x:f>
        <x:v>12426</x:v>
      </x:c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43" t="n">
        <x:f>'台北每日數據'!A420</x:f>
        <x:v>46252</x:v>
      </x:c>
      <x:c r="B420" s="44" t="n">
        <x:f>IF(COUNT('台北每日數據'!C420:D420)=2,'台北每日數據'!B420,"")</x:f>
        <x:v>281993</x:v>
      </x:c>
      <x:c r="C420" s="44" t="n">
        <x:f>IF(COUNT('新北每日數據'!C420:D420)=2,'新北每日數據'!B420,"")</x:f>
        <x:v>157465</x:v>
      </x:c>
      <x:c r="D420" s="44" t="n">
        <x:f>IF(COUNT(B420:C420)=2,SUM(B420:C420),"")</x:f>
        <x:v>439458</x:v>
      </x:c>
      <x:c r="E420" s="44" t="n">
        <x:f>IF(COUNT('台北每日數據'!C420:D420)=2,'台北每日數據'!G420,"")</x:f>
        <x:v>8641</x:v>
      </x:c>
      <x:c r="F420" s="44" t="n">
        <x:f>IF(COUNT('新北每日數據'!C420:D420)=2,'新北每日數據'!G420,"")</x:f>
        <x:v>3321</x:v>
      </x:c>
      <x:c r="G420" s="44" t="n">
        <x:f>IF(COUNT(E420:F420)=2,SUM(E420:F420),"")</x:f>
        <x:v>11962</x:v>
      </x:c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43" t="n">
        <x:f>'台北每日數據'!A421</x:f>
        <x:v>46253</x:v>
      </x:c>
      <x:c r="B421" s="44" t="n">
        <x:f>IF(COUNT('台北每日數據'!C421:D421)=2,'台北每日數據'!B421,"")</x:f>
        <x:v>210410</x:v>
      </x:c>
      <x:c r="C421" s="44" t="n">
        <x:f>IF(COUNT('新北每日數據'!C421:D421)=2,'新北每日數據'!B421,"")</x:f>
        <x:v>117801</x:v>
      </x:c>
      <x:c r="D421" s="44" t="n">
        <x:f>IF(COUNT(B421:C421)=2,SUM(B421:C421),"")</x:f>
        <x:v>328211</x:v>
      </x:c>
      <x:c r="E421" s="44" t="n">
        <x:f>IF(COUNT('台北每日數據'!C421:D421)=2,'台北每日數據'!G421,"")</x:f>
        <x:v>7269</x:v>
      </x:c>
      <x:c r="F421" s="44" t="n">
        <x:f>IF(COUNT('新北每日數據'!C421:D421)=2,'新北每日數據'!G421,"")</x:f>
        <x:v>2789</x:v>
      </x:c>
      <x:c r="G421" s="44" t="n">
        <x:f>IF(COUNT(E421:F421)=2,SUM(E421:F421),"")</x:f>
        <x:v>10058</x:v>
      </x:c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43" t="n">
        <x:f>'台北每日數據'!A422</x:f>
        <x:v>46254</x:v>
      </x:c>
      <x:c r="B422" s="44" t="n">
        <x:f>IF(COUNT('台北每日數據'!C422:D422)=2,'台北每日數據'!B422,"")</x:f>
        <x:v>176618</x:v>
      </x:c>
      <x:c r="C422" s="44" t="n">
        <x:f>IF(COUNT('新北每日數據'!C422:D422)=2,'新北每日數據'!B422,"")</x:f>
        <x:v>106028</x:v>
      </x:c>
      <x:c r="D422" s="44" t="n">
        <x:f>IF(COUNT(B422:C422)=2,SUM(B422:C422),"")</x:f>
        <x:v>282646</x:v>
      </x:c>
      <x:c r="E422" s="44" t="n">
        <x:f>IF(COUNT('台北每日數據'!C422:D422)=2,'台北每日數據'!G422,"")</x:f>
        <x:v>6545</x:v>
      </x:c>
      <x:c r="F422" s="44" t="n">
        <x:f>IF(COUNT('新北每日數據'!C422:D422)=2,'新北每日數據'!G422,"")</x:f>
        <x:v>2512</x:v>
      </x:c>
      <x:c r="G422" s="44" t="n">
        <x:f>IF(COUNT(E422:F422)=2,SUM(E422:F422),"")</x:f>
        <x:v>9057</x:v>
      </x:c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43" t="n">
        <x:f>'台北每日數據'!A423</x:f>
        <x:v>46255</x:v>
      </x:c>
      <x:c r="B423" s="44" t="n">
        <x:f>IF(COUNT('台北每日數據'!C423:D423)=2,'台北每日數據'!B423,"")</x:f>
        <x:v>181717</x:v>
      </x:c>
      <x:c r="C423" s="44" t="n">
        <x:f>IF(COUNT('新北每日數據'!C423:D423)=2,'新北每日數據'!B423,"")</x:f>
        <x:v>97606</x:v>
      </x:c>
      <x:c r="D423" s="44" t="n">
        <x:f>IF(COUNT(B423:C423)=2,SUM(B423:C423),"")</x:f>
        <x:v>279323</x:v>
      </x:c>
      <x:c r="E423" s="44" t="n">
        <x:f>IF(COUNT('台北每日數據'!C423:D423)=2,'台北每日數據'!G423,"")</x:f>
        <x:v>6892</x:v>
      </x:c>
      <x:c r="F423" s="44" t="n">
        <x:f>IF(COUNT('新北每日數據'!C423:D423)=2,'新北每日數據'!G423,"")</x:f>
        <x:v>2562</x:v>
      </x:c>
      <x:c r="G423" s="44" t="n">
        <x:f>IF(COUNT(E423:F423)=2,SUM(E423:F423),"")</x:f>
        <x:v>9454</x:v>
      </x:c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43" t="n">
        <x:f>'台北每日數據'!A424</x:f>
        <x:v>46256</x:v>
      </x:c>
      <x:c r="B424" s="44" t="n">
        <x:f>IF(COUNT('台北每日數據'!C424:D424)=2,'台北每日數據'!B424,"")</x:f>
        <x:v>169044</x:v>
      </x:c>
      <x:c r="C424" s="44" t="n">
        <x:f>IF(COUNT('新北每日數據'!C424:D424)=2,'新北每日數據'!B424,"")</x:f>
        <x:v>102593</x:v>
      </x:c>
      <x:c r="D424" s="44" t="n">
        <x:f>IF(COUNT(B424:C424)=2,SUM(B424:C424),"")</x:f>
        <x:v>271637</x:v>
      </x:c>
      <x:c r="E424" s="44" t="n">
        <x:f>IF(COUNT('台北每日數據'!C424:D424)=2,'台北每日數據'!G424,"")</x:f>
        <x:v>6557</x:v>
      </x:c>
      <x:c r="F424" s="44" t="n">
        <x:f>IF(COUNT('新北每日數據'!C424:D424)=2,'新北每日數據'!G424,"")</x:f>
        <x:v>2569</x:v>
      </x:c>
      <x:c r="G424" s="44" t="n">
        <x:f>IF(COUNT(E424:F424)=2,SUM(E424:F424),"")</x:f>
        <x:v>9126</x:v>
      </x:c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43" t="n">
        <x:f>'台北每日數據'!A425</x:f>
        <x:v>46257</x:v>
      </x:c>
      <x:c r="B425" s="44" t="n">
        <x:f>IF(COUNT('台北每日數據'!C425:D425)=2,'台北每日數據'!B425,"")</x:f>
        <x:v>211627</x:v>
      </x:c>
      <x:c r="C425" s="44" t="n">
        <x:f>IF(COUNT('新北每日數據'!C425:D425)=2,'新北每日數據'!B425,"")</x:f>
        <x:v>138946</x:v>
      </x:c>
      <x:c r="D425" s="44" t="n">
        <x:f>IF(COUNT(B425:C425)=2,SUM(B425:C425),"")</x:f>
        <x:v>350573</x:v>
      </x:c>
      <x:c r="E425" s="44" t="n">
        <x:f>IF(COUNT('台北每日數據'!C425:D425)=2,'台北每日數據'!G425,"")</x:f>
        <x:v>7987</x:v>
      </x:c>
      <x:c r="F425" s="44" t="n">
        <x:f>IF(COUNT('新北每日數據'!C425:D425)=2,'新北每日數據'!G425,"")</x:f>
        <x:v>3244</x:v>
      </x:c>
      <x:c r="G425" s="44" t="n">
        <x:f>IF(COUNT(E425:F425)=2,SUM(E425:F425),"")</x:f>
        <x:v>11231</x:v>
      </x:c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43" t="n">
        <x:f>'台北每日數據'!A426</x:f>
        <x:v>46258</x:v>
      </x:c>
      <x:c r="B426" s="44" t="n">
        <x:f>IF(COUNT('台北每日數據'!C426:D426)=2,'台北每日數據'!B426,"")</x:f>
        <x:v>126030</x:v>
      </x:c>
      <x:c r="C426" s="44" t="n">
        <x:f>IF(COUNT('新北每日數據'!C426:D426)=2,'新北每日數據'!B426,"")</x:f>
        <x:v>72841</x:v>
      </x:c>
      <x:c r="D426" s="44" t="n">
        <x:f>IF(COUNT(B426:C426)=2,SUM(B426:C426),"")</x:f>
        <x:v>198871</x:v>
      </x:c>
      <x:c r="E426" s="44" t="n">
        <x:f>IF(COUNT('台北每日數據'!C426:D426)=2,'台北每日數據'!G426,"")</x:f>
        <x:v>4783</x:v>
      </x:c>
      <x:c r="F426" s="44" t="n">
        <x:f>IF(COUNT('新北每日數據'!C426:D426)=2,'新北每日數據'!G426,"")</x:f>
        <x:v>1904</x:v>
      </x:c>
      <x:c r="G426" s="44" t="n">
        <x:f>IF(COUNT(E426:F426)=2,SUM(E426:F426),"")</x:f>
        <x:v>6687</x:v>
      </x:c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43" t="n">
        <x:f>'台北每日數據'!A427</x:f>
        <x:v>46259</x:v>
      </x:c>
      <x:c r="B427" s="44" t="n">
        <x:f>IF(COUNT('台北每日數據'!C427:D427)=2,'台北每日數據'!B427,"")</x:f>
        <x:v>185554</x:v>
      </x:c>
      <x:c r="C427" s="44" t="n">
        <x:f>IF(COUNT('新北每日數據'!C427:D427)=2,'新北每日數據'!B427,"")</x:f>
        <x:v>99391</x:v>
      </x:c>
      <x:c r="D427" s="44" t="n">
        <x:f>IF(COUNT(B427:C427)=2,SUM(B427:C427),"")</x:f>
        <x:v>284945</x:v>
      </x:c>
      <x:c r="E427" s="44" t="n">
        <x:f>IF(COUNT('台北每日數據'!C427:D427)=2,'台北每日數據'!G427,"")</x:f>
        <x:v>7035</x:v>
      </x:c>
      <x:c r="F427" s="44" t="n">
        <x:f>IF(COUNT('新北每日數據'!C427:D427)=2,'新北每日數據'!G427,"")</x:f>
        <x:v>2626</x:v>
      </x:c>
      <x:c r="G427" s="44" t="n">
        <x:f>IF(COUNT(E427:F427)=2,SUM(E427:F427),"")</x:f>
        <x:v>9661</x:v>
      </x:c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43" t="n">
        <x:f>'台北每日數據'!A428</x:f>
        <x:v>46260</x:v>
      </x:c>
      <x:c r="B428" s="44" t="n">
        <x:f>IF(COUNT('台北每日數據'!C428:D428)=2,'台北每日數據'!B428,"")</x:f>
        <x:v>305792</x:v>
      </x:c>
      <x:c r="C428" s="44" t="n">
        <x:f>IF(COUNT('新北每日數據'!C428:D428)=2,'新北每日數據'!B428,"")</x:f>
        <x:v>166134</x:v>
      </x:c>
      <x:c r="D428" s="44" t="n">
        <x:f>IF(COUNT(B428:C428)=2,SUM(B428:C428),"")</x:f>
        <x:v>471926</x:v>
      </x:c>
      <x:c r="E428" s="44" t="n">
        <x:f>IF(COUNT('台北每日數據'!C428:D428)=2,'台北每日數據'!G428,"")</x:f>
        <x:v>9834</x:v>
      </x:c>
      <x:c r="F428" s="44" t="n">
        <x:f>IF(COUNT('新北每日數據'!C428:D428)=2,'新北每日數據'!G428,"")</x:f>
        <x:v>3975</x:v>
      </x:c>
      <x:c r="G428" s="44" t="n">
        <x:f>IF(COUNT(E428:F428)=2,SUM(E428:F428),"")</x:f>
        <x:v>13809</x:v>
      </x:c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43" t="n">
        <x:f>'台北每日數據'!A429</x:f>
        <x:v>46261</x:v>
      </x:c>
      <x:c r="B429" s="44" t="n">
        <x:f>IF(COUNT('台北每日數據'!C429:D429)=2,'台北每日數據'!B429,"")</x:f>
        <x:v>295671</x:v>
      </x:c>
      <x:c r="C429" s="44" t="n">
        <x:f>IF(COUNT('新北每日數據'!C429:D429)=2,'新北每日數據'!B429,"")</x:f>
        <x:v>161653</x:v>
      </x:c>
      <x:c r="D429" s="44" t="n">
        <x:f>IF(COUNT(B429:C429)=2,SUM(B429:C429),"")</x:f>
        <x:v>457324</x:v>
      </x:c>
      <x:c r="E429" s="44" t="n">
        <x:f>IF(COUNT('台北每日數據'!C429:D429)=2,'台北每日數據'!G429,"")</x:f>
        <x:v>9527</x:v>
      </x:c>
      <x:c r="F429" s="44" t="n">
        <x:f>IF(COUNT('新北每日數據'!C429:D429)=2,'新北每日數據'!G429,"")</x:f>
        <x:v>3971</x:v>
      </x:c>
      <x:c r="G429" s="44" t="n">
        <x:f>IF(COUNT(E429:F429)=2,SUM(E429:F429),"")</x:f>
        <x:v>13498</x:v>
      </x:c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43" t="n">
        <x:f>'台北每日數據'!A430</x:f>
        <x:v>46262</x:v>
      </x:c>
      <x:c r="B430" s="44" t="n">
        <x:f>IF(COUNT('台北每日數據'!C430:D430)=2,'台北每日數據'!B430,"")</x:f>
        <x:v>303995</x:v>
      </x:c>
      <x:c r="C430" s="44" t="n">
        <x:f>IF(COUNT('新北每日數據'!C430:D430)=2,'新北每日數據'!B430,"")</x:f>
        <x:v>170958</x:v>
      </x:c>
      <x:c r="D430" s="44" t="n">
        <x:f>IF(COUNT(B430:C430)=2,SUM(B430:C430),"")</x:f>
        <x:v>474953</x:v>
      </x:c>
      <x:c r="E430" s="44" t="n">
        <x:f>IF(COUNT('台北每日數據'!C430:D430)=2,'台北每日數據'!G430,"")</x:f>
        <x:v>10070</x:v>
      </x:c>
      <x:c r="F430" s="44" t="n">
        <x:f>IF(COUNT('新北每日數據'!C430:D430)=2,'新北每日數據'!G430,"")</x:f>
        <x:v>4292</x:v>
      </x:c>
      <x:c r="G430" s="44" t="n">
        <x:f>IF(COUNT(E430:F430)=2,SUM(E430:F430),"")</x:f>
        <x:v>14362</x:v>
      </x:c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43" t="n">
        <x:f>'台北每日數據'!A431</x:f>
        <x:v>46263</x:v>
      </x:c>
      <x:c r="B431" s="44" t="n">
        <x:f>IF(COUNT('台北每日數據'!C431:D431)=2,'台北每日數據'!B431,"")</x:f>
        <x:v>193439</x:v>
      </x:c>
      <x:c r="C431" s="44" t="n">
        <x:f>IF(COUNT('新北每日數據'!C431:D431)=2,'新北每日數據'!B431,"")</x:f>
        <x:v>123849</x:v>
      </x:c>
      <x:c r="D431" s="44" t="n">
        <x:f>IF(COUNT(B431:C431)=2,SUM(B431:C431),"")</x:f>
        <x:v>317288</x:v>
      </x:c>
      <x:c r="E431" s="44" t="n">
        <x:f>IF(COUNT('台北每日數據'!C431:D431)=2,'台北每日數據'!G431,"")</x:f>
        <x:v>7447</x:v>
      </x:c>
      <x:c r="F431" s="44" t="n">
        <x:f>IF(COUNT('新北每日數據'!C431:D431)=2,'新北每日數據'!G431,"")</x:f>
        <x:v>3418</x:v>
      </x:c>
      <x:c r="G431" s="44" t="n">
        <x:f>IF(COUNT(E431:F431)=2,SUM(E431:F431),"")</x:f>
        <x:v>10865</x:v>
      </x:c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43" t="n">
        <x:f>'台北每日數據'!A432</x:f>
        <x:v>46264</x:v>
      </x:c>
      <x:c r="B432" s="44" t="n">
        <x:f>IF(COUNT('台北每日數據'!C432:D432)=2,'台北每日數據'!B432,"")</x:f>
        <x:v>234613</x:v>
      </x:c>
      <x:c r="C432" s="44" t="n">
        <x:f>IF(COUNT('新北每日數據'!C432:D432)=2,'新北每日數據'!B432,"")</x:f>
        <x:v>144104</x:v>
      </x:c>
      <x:c r="D432" s="44" t="n">
        <x:f>IF(COUNT(B432:C432)=2,SUM(B432:C432),"")</x:f>
        <x:v>378717</x:v>
      </x:c>
      <x:c r="E432" s="44" t="n">
        <x:f>IF(COUNT('台北每日數據'!C432:D432)=2,'台北每日數據'!G432,"")</x:f>
        <x:v>8440</x:v>
      </x:c>
      <x:c r="F432" s="44" t="n">
        <x:f>IF(COUNT('新北每日數據'!C432:D432)=2,'新北每日數據'!G432,"")</x:f>
        <x:v>3810</x:v>
      </x:c>
      <x:c r="G432" s="44" t="n">
        <x:f>IF(COUNT(E432:F432)=2,SUM(E432:F432),"")</x:f>
        <x:v>12250</x:v>
      </x:c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43" t="n">
        <x:f>'台北每日數據'!A433</x:f>
        <x:v>46265</x:v>
      </x:c>
      <x:c r="B433" s="44" t="n">
        <x:f>IF(COUNT('台北每日數據'!C433:D433)=2,'台北每日數據'!B433,"")</x:f>
        <x:v>293454</x:v>
      </x:c>
      <x:c r="C433" s="44" t="n">
        <x:f>IF(COUNT('新北每日數據'!C433:D433)=2,'新北每日數據'!B433,"")</x:f>
        <x:v>155325</x:v>
      </x:c>
      <x:c r="D433" s="44" t="n">
        <x:f>IF(COUNT(B433:C433)=2,SUM(B433:C433),"")</x:f>
        <x:v>448779</x:v>
      </x:c>
      <x:c r="E433" s="44" t="n">
        <x:f>IF(COUNT('台北每日數據'!C433:D433)=2,'台北每日數據'!G433,"")</x:f>
        <x:v>9549</x:v>
      </x:c>
      <x:c r="F433" s="44" t="n">
        <x:f>IF(COUNT('新北每日數據'!C433:D433)=2,'新北每日數據'!G433,"")</x:f>
        <x:v>4286</x:v>
      </x:c>
      <x:c r="G433" s="44" t="n">
        <x:f>IF(COUNT(E433:F433)=2,SUM(E433:F433),"")</x:f>
        <x:v>13835</x:v>
      </x:c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43" t="n">
        <x:f>'台北每日數據'!A434</x:f>
        <x:v>46266</x:v>
      </x:c>
      <x:c r="B434" s="44" t="n">
        <x:v>173401</x:v>
      </x:c>
      <x:c r="C434" s="44" t="n">
        <x:v>88116</x:v>
      </x:c>
      <x:c r="D434" s="44" t="n">
        <x:v>261517</x:v>
      </x:c>
      <x:c r="E434" s="44" t="n">
        <x:v>6823</x:v>
      </x:c>
      <x:c r="F434" s="44" t="n">
        <x:v>2690</x:v>
      </x:c>
      <x:c r="G434" s="44" t="n">
        <x:v>9513</x:v>
      </x:c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43" t="n">
        <x:f>'台北每日數據'!A435</x:f>
        <x:v>46267</x:v>
      </x:c>
      <x:c r="B435" s="44" t="n">
        <x:v>309417</x:v>
      </x:c>
      <x:c r="C435" s="44" t="n">
        <x:v>159821</x:v>
      </x:c>
      <x:c r="D435" s="44" t="n">
        <x:v>469238</x:v>
      </x:c>
      <x:c r="E435" s="44" t="n">
        <x:v>10095</x:v>
      </x:c>
      <x:c r="F435" s="44" t="n">
        <x:v>4083</x:v>
      </x:c>
      <x:c r="G435" s="44" t="n">
        <x:v>14178</x:v>
      </x:c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43" t="n">
        <x:f>'台北每日數據'!A436</x:f>
        <x:v>46268</x:v>
      </x:c>
      <x:c r="B436" s="44" t="n">
        <x:v>70106</x:v>
      </x:c>
      <x:c r="C436" s="44" t="n">
        <x:v>48596</x:v>
      </x:c>
      <x:c r="D436" s="44" t="n">
        <x:v>118702</x:v>
      </x:c>
      <x:c r="E436" s="44" t="n">
        <x:v>2785</x:v>
      </x:c>
      <x:c r="F436" s="44" t="n">
        <x:v>1308</x:v>
      </x:c>
      <x:c r="G436" s="44" t="n">
        <x:v>4093</x:v>
      </x:c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43" t="n">
        <x:f>'台北每日數據'!A437</x:f>
        <x:v>46269</x:v>
      </x:c>
      <x:c r="B437" s="44" t="n">
        <x:v>87037</x:v>
      </x:c>
      <x:c r="C437" s="44" t="n">
        <x:v>68638</x:v>
      </x:c>
      <x:c r="D437" s="44" t="n">
        <x:v>155675</x:v>
      </x:c>
      <x:c r="E437" s="44" t="n">
        <x:v>3034</x:v>
      </x:c>
      <x:c r="F437" s="44" t="n">
        <x:v>1383</x:v>
      </x:c>
      <x:c r="G437" s="44" t="n">
        <x:v>4417</x:v>
      </x:c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43" t="n">
        <x:f>'台北每日數據'!A438</x:f>
        <x:v>46270</x:v>
      </x:c>
      <x:c r="B438" s="44" t="n">
        <x:v>194593</x:v>
      </x:c>
      <x:c r="C438" s="44" t="n">
        <x:v>129536</x:v>
      </x:c>
      <x:c r="D438" s="44" t="n">
        <x:v>324129</x:v>
      </x:c>
      <x:c r="E438" s="44" t="n">
        <x:v>6928</x:v>
      </x:c>
      <x:c r="F438" s="44" t="n">
        <x:v>3067</x:v>
      </x:c>
      <x:c r="G438" s="44" t="n">
        <x:v>9995</x:v>
      </x:c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43" t="n">
        <x:f>'台北每日數據'!A439</x:f>
        <x:v>46271</x:v>
      </x:c>
      <x:c r="B439" s="44" t="n">
        <x:v>73316</x:v>
      </x:c>
      <x:c r="C439" s="44" t="n">
        <x:v>45034</x:v>
      </x:c>
      <x:c r="D439" s="44" t="n">
        <x:v>118350</x:v>
      </x:c>
      <x:c r="E439" s="44" t="n">
        <x:v>2799</x:v>
      </x:c>
      <x:c r="F439" s="44" t="n">
        <x:v>1149</x:v>
      </x:c>
      <x:c r="G439" s="44" t="n">
        <x:v>3948</x:v>
      </x:c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43" t="n">
        <x:f>'台北每日數據'!A440</x:f>
        <x:v>46272</x:v>
      </x:c>
      <x:c r="B440" s="44" t="n">
        <x:v>325148</x:v>
      </x:c>
      <x:c r="C440" s="44" t="n">
        <x:v>164879</x:v>
      </x:c>
      <x:c r="D440" s="44" t="n">
        <x:v>490027</x:v>
      </x:c>
      <x:c r="E440" s="44" t="n">
        <x:v>10288</x:v>
      </x:c>
      <x:c r="F440" s="44" t="n">
        <x:v>4140</x:v>
      </x:c>
      <x:c r="G440" s="44" t="n">
        <x:v>14428</x:v>
      </x:c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43" t="n">
        <x:f>'台北每日數據'!A441</x:f>
        <x:v>46273</x:v>
      </x:c>
      <x:c r="B441" s="44" t="n">
        <x:v>318370</x:v>
      </x:c>
      <x:c r="C441" s="44" t="n">
        <x:v>165537</x:v>
      </x:c>
      <x:c r="D441" s="44" t="n">
        <x:v>483907</x:v>
      </x:c>
      <x:c r="E441" s="44" t="n">
        <x:v>10101</x:v>
      </x:c>
      <x:c r="F441" s="44" t="n">
        <x:v>4148</x:v>
      </x:c>
      <x:c r="G441" s="44" t="n">
        <x:v>14249</x:v>
      </x:c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43" t="n">
        <x:f>'台北每日數據'!A442</x:f>
        <x:v>46274</x:v>
      </x:c>
      <x:c r="B442" s="44" t="n">
        <x:v>303345</x:v>
      </x:c>
      <x:c r="C442" s="44" t="n">
        <x:v>157344</x:v>
      </x:c>
      <x:c r="D442" s="44" t="n">
        <x:v>460689</x:v>
      </x:c>
      <x:c r="E442" s="44" t="n">
        <x:v>10096</x:v>
      </x:c>
      <x:c r="F442" s="44" t="n">
        <x:v>3995</x:v>
      </x:c>
      <x:c r="G442" s="44" t="n">
        <x:v>14091</x:v>
      </x:c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43" t="n">
        <x:f>'台北每日數據'!A443</x:f>
        <x:v>46275</x:v>
      </x:c>
      <x:c r="B443" s="44" t="n">
        <x:v>284034</x:v>
      </x:c>
      <x:c r="C443" s="44" t="n">
        <x:v>155585</x:v>
      </x:c>
      <x:c r="D443" s="44" t="n">
        <x:v>439619</x:v>
      </x:c>
      <x:c r="E443" s="44" t="n">
        <x:v>9513</x:v>
      </x:c>
      <x:c r="F443" s="44" t="n">
        <x:v>3898</x:v>
      </x:c>
      <x:c r="G443" s="44" t="n">
        <x:v>13411</x:v>
      </x:c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43" t="n">
        <x:f>'台北每日數據'!A444</x:f>
        <x:v>46276</x:v>
      </x:c>
      <x:c r="B444" s="44" t="n">
        <x:v>212352</x:v>
      </x:c>
      <x:c r="C444" s="44" t="n">
        <x:v>113017</x:v>
      </x:c>
      <x:c r="D444" s="44" t="n">
        <x:v>325369</x:v>
      </x:c>
      <x:c r="E444" s="44" t="n">
        <x:v>7625</x:v>
      </x:c>
      <x:c r="F444" s="44" t="n">
        <x:v>2749</x:v>
      </x:c>
      <x:c r="G444" s="44" t="n">
        <x:v>10374</x:v>
      </x:c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43" t="n">
        <x:f>'台北每日數據'!A445</x:f>
        <x:v>46277</x:v>
      </x:c>
      <x:c r="B445" s="44" t="n">
        <x:v>228120</x:v>
      </x:c>
      <x:c r="C445" s="44" t="n">
        <x:v>147604</x:v>
      </x:c>
      <x:c r="D445" s="44" t="n">
        <x:v>375724</x:v>
      </x:c>
      <x:c r="E445" s="44" t="n">
        <x:v>7794</x:v>
      </x:c>
      <x:c r="F445" s="44" t="n">
        <x:v>3081</x:v>
      </x:c>
      <x:c r="G445" s="44" t="n">
        <x:v>10875</x:v>
      </x:c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43" t="n">
        <x:f>'台北每日數據'!A446</x:f>
        <x:v>46278</x:v>
      </x:c>
      <x:c r="B446" s="44" t="n">
        <x:v>251162</x:v>
      </x:c>
      <x:c r="C446" s="44" t="n">
        <x:v>156504</x:v>
      </x:c>
      <x:c r="D446" s="44" t="n">
        <x:v>407666</x:v>
      </x:c>
      <x:c r="E446" s="44" t="n">
        <x:v>8992</x:v>
      </x:c>
      <x:c r="F446" s="44" t="n">
        <x:v>3473</x:v>
      </x:c>
      <x:c r="G446" s="44" t="n">
        <x:v>12465</x:v>
      </x:c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43" t="n">
        <x:f>'台北每日數據'!A447</x:f>
        <x:v>46279</x:v>
      </x:c>
      <x:c r="B447" s="44" t="n">
        <x:v>255044</x:v>
      </x:c>
      <x:c r="C447" s="44" t="n">
        <x:v>126308</x:v>
      </x:c>
      <x:c r="D447" s="44" t="n">
        <x:v>381352</x:v>
      </x:c>
      <x:c r="E447" s="44" t="n">
        <x:v>8574</x:v>
      </x:c>
      <x:c r="F447" s="44" t="n">
        <x:v>3197</x:v>
      </x:c>
      <x:c r="G447" s="44" t="n">
        <x:v>11771</x:v>
      </x:c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43" t="n">
        <x:f>'台北每日數據'!A448</x:f>
        <x:v>46280</x:v>
      </x:c>
      <x:c r="B448" s="44" t="n">
        <x:v>303497</x:v>
      </x:c>
      <x:c r="C448" s="44" t="n">
        <x:v>152849</x:v>
      </x:c>
      <x:c r="D448" s="44" t="n">
        <x:v>456346</x:v>
      </x:c>
      <x:c r="E448" s="44" t="n">
        <x:v>10225</x:v>
      </x:c>
      <x:c r="F448" s="44" t="n">
        <x:v>3609</x:v>
      </x:c>
      <x:c r="G448" s="44" t="n">
        <x:v>13834</x:v>
      </x:c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43" t="n">
        <x:f>'台北每日數據'!A449</x:f>
        <x:v>46281</x:v>
      </x:c>
      <x:c r="B449" s="44" t="n">
        <x:v>324608</x:v>
      </x:c>
      <x:c r="C449" s="44" t="n">
        <x:v>166258</x:v>
      </x:c>
      <x:c r="D449" s="44" t="n">
        <x:v>490866</x:v>
      </x:c>
      <x:c r="E449" s="44" t="n">
        <x:v>10736</x:v>
      </x:c>
      <x:c r="F449" s="44" t="n">
        <x:v>4111</x:v>
      </x:c>
      <x:c r="G449" s="44" t="n">
        <x:v>14847</x:v>
      </x:c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43" t="n">
        <x:f>'台北每日數據'!A450</x:f>
        <x:v>46282</x:v>
      </x:c>
      <x:c r="B450" s="44" t="n">
        <x:v>319886</x:v>
      </x:c>
      <x:c r="C450" s="44" t="n">
        <x:v>164340</x:v>
      </x:c>
      <x:c r="D450" s="44" t="n">
        <x:v>484226</x:v>
      </x:c>
      <x:c r="E450" s="44" t="n">
        <x:v>10596</x:v>
      </x:c>
      <x:c r="F450" s="44" t="n">
        <x:v>3966</x:v>
      </x:c>
      <x:c r="G450" s="44" t="n">
        <x:v>14562</x:v>
      </x:c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43" t="n">
        <x:f>'台北每日數據'!A451</x:f>
        <x:v>46283</x:v>
      </x:c>
      <x:c r="B451" s="44" t="n">
        <x:v>329763</x:v>
      </x:c>
      <x:c r="C451" s="44" t="n">
        <x:v>175243</x:v>
      </x:c>
      <x:c r="D451" s="44" t="n">
        <x:v>505006</x:v>
      </x:c>
      <x:c r="E451" s="44" t="n">
        <x:v>10953</x:v>
      </x:c>
      <x:c r="F451" s="44" t="n">
        <x:v>3941</x:v>
      </x:c>
      <x:c r="G451" s="44" t="n">
        <x:v>14894</x:v>
      </x:c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43" t="n">
        <x:f>'台北每日數據'!A452</x:f>
        <x:v>46284</x:v>
      </x:c>
      <x:c r="B452" s="44" t="n">
        <x:v>278146</x:v>
      </x:c>
      <x:c r="C452" s="44" t="n">
        <x:v>173666</x:v>
      </x:c>
      <x:c r="D452" s="44" t="n">
        <x:v>451812</x:v>
      </x:c>
      <x:c r="E452" s="44" t="n">
        <x:v>9649</x:v>
      </x:c>
      <x:c r="F452" s="44" t="n">
        <x:v>3797</x:v>
      </x:c>
      <x:c r="G452" s="44" t="n">
        <x:v>13446</x:v>
      </x:c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43" t="n">
        <x:f>'台北每日數據'!A453</x:f>
        <x:v>46285</x:v>
      </x:c>
      <x:c r="B453" s="44" t="n">
        <x:v>244325</x:v>
      </x:c>
      <x:c r="C453" s="44" t="n">
        <x:v>153362</x:v>
      </x:c>
      <x:c r="D453" s="44" t="n">
        <x:v>397687</x:v>
      </x:c>
      <x:c r="E453" s="44" t="n">
        <x:v>8668</x:v>
      </x:c>
      <x:c r="F453" s="44" t="n">
        <x:v>3703</x:v>
      </x:c>
      <x:c r="G453" s="44" t="n">
        <x:v>12371</x:v>
      </x:c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43" t="n">
        <x:f>'台北每日數據'!A454</x:f>
        <x:v>46286</x:v>
      </x:c>
      <x:c r="B454" s="44" t="n">
        <x:v>311273</x:v>
      </x:c>
      <x:c r="C454" s="44" t="n">
        <x:v>162464</x:v>
      </x:c>
      <x:c r="D454" s="44" t="n">
        <x:v>473737</x:v>
      </x:c>
      <x:c r="E454" s="44" t="n">
        <x:v>9856</x:v>
      </x:c>
      <x:c r="F454" s="44" t="n">
        <x:v>3917</x:v>
      </x:c>
      <x:c r="G454" s="44" t="n">
        <x:v>13773</x:v>
      </x:c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43" t="n">
        <x:f>'台北每日數據'!A455</x:f>
        <x:v>46287</x:v>
      </x:c>
      <x:c r="B455" s="44" t="n">
        <x:v>313142</x:v>
      </x:c>
      <x:c r="C455" s="44" t="n">
        <x:v>163425</x:v>
      </x:c>
      <x:c r="D455" s="44" t="n">
        <x:v>476567</x:v>
      </x:c>
      <x:c r="E455" s="44" t="n">
        <x:v>10145</x:v>
      </x:c>
      <x:c r="F455" s="44" t="n">
        <x:v>3979</x:v>
      </x:c>
      <x:c r="G455" s="44" t="n">
        <x:v>14124</x:v>
      </x:c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43" t="n">
        <x:f>'台北每日數據'!A456</x:f>
        <x:v>46288</x:v>
      </x:c>
      <x:c r="B456" s="44" t="n">
        <x:v>322530</x:v>
      </x:c>
      <x:c r="C456" s="44" t="n">
        <x:v>168326</x:v>
      </x:c>
      <x:c r="D456" s="44" t="n">
        <x:v>490856</x:v>
      </x:c>
      <x:c r="E456" s="44" t="n">
        <x:v>10941</x:v>
      </x:c>
      <x:c r="F456" s="44" t="n">
        <x:v>4100</x:v>
      </x:c>
      <x:c r="G456" s="44" t="n">
        <x:v>15041</x:v>
      </x:c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43" t="n">
        <x:f>'台北每日數據'!A457</x:f>
        <x:v>46289</x:v>
      </x:c>
      <x:c r="B457" s="44" t="n">
        <x:v>320774</x:v>
      </x:c>
      <x:c r="C457" s="44" t="n">
        <x:v>174740</x:v>
      </x:c>
      <x:c r="D457" s="44" t="n">
        <x:v>495514</x:v>
      </x:c>
      <x:c r="E457" s="44" t="n">
        <x:v>10834</x:v>
      </x:c>
      <x:c r="F457" s="44" t="n">
        <x:v>4209</x:v>
      </x:c>
      <x:c r="G457" s="44" t="n">
        <x:v>15043</x:v>
      </x:c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43" t="n">
        <x:f>'台北每日數據'!A458</x:f>
        <x:v>46290</x:v>
      </x:c>
      <x:c r="B458" s="44" t="n">
        <x:v>212421</x:v>
      </x:c>
      <x:c r="C458" s="44" t="n">
        <x:v>147977</x:v>
      </x:c>
      <x:c r="D458" s="44" t="n">
        <x:v>360398</x:v>
      </x:c>
      <x:c r="E458" s="44" t="n">
        <x:v>8915</x:v>
      </x:c>
      <x:c r="F458" s="44" t="n">
        <x:v>3811</x:v>
      </x:c>
      <x:c r="G458" s="44" t="n">
        <x:v>12726</x:v>
      </x:c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43" t="n">
        <x:f>'台北每日數據'!A459</x:f>
        <x:v>46291</x:v>
      </x:c>
      <x:c r="B459" s="44" t="n">
        <x:v>215779</x:v>
      </x:c>
      <x:c r="C459" s="44" t="n">
        <x:v>148965</x:v>
      </x:c>
      <x:c r="D459" s="44" t="n">
        <x:v>364744</x:v>
      </x:c>
      <x:c r="E459" s="44" t="n">
        <x:v>8699</x:v>
      </x:c>
      <x:c r="F459" s="44" t="n">
        <x:v>3838</x:v>
      </x:c>
      <x:c r="G459" s="44" t="n">
        <x:v>12537</x:v>
      </x:c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43" t="n">
        <x:f>'台北每日數據'!A460</x:f>
        <x:v>46292</x:v>
      </x:c>
      <x:c r="B460" s="44" t="n">
        <x:v>216680</x:v>
      </x:c>
      <x:c r="C460" s="44" t="n">
        <x:v>148148</x:v>
      </x:c>
      <x:c r="D460" s="44" t="n">
        <x:v>364828</x:v>
      </x:c>
      <x:c r="E460" s="44" t="n">
        <x:v>8317</x:v>
      </x:c>
      <x:c r="F460" s="44" t="n">
        <x:v>3558</x:v>
      </x:c>
      <x:c r="G460" s="44" t="n">
        <x:v>11875</x:v>
      </x:c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43" t="n">
        <x:f>'台北每日數據'!A461</x:f>
        <x:v>46293</x:v>
      </x:c>
      <x:c r="B461" s="44" t="str">
        <x:f>IF(COUNT('台北每日數據'!C461:D461)=2,'台北每日數據'!B461,"")</x:f>
      </x:c>
      <x:c r="C461" s="44" t="str">
        <x:f>IF(COUNT('新北每日數據'!C461:D461)=2,'新北每日數據'!B461,"")</x:f>
      </x:c>
      <x:c r="D461" s="44" t="str">
        <x:f>IF(COUNT(B461:C461)=2,SUM(B461:C461),"")</x:f>
      </x:c>
      <x:c r="E461" s="44" t="str">
        <x:f>IF(COUNT('台北每日數據'!C461:D461)=2,'台北每日數據'!G461,"")</x:f>
      </x:c>
      <x:c r="F461" s="44" t="str">
        <x:f>IF(COUNT('新北每日數據'!C461:D461)=2,'新北每日數據'!G461,"")</x:f>
      </x:c>
      <x:c r="G461" s="44" t="str">
        <x:f>IF(COUNT(E461:F461)=2,SUM(E461:F461),"")</x:f>
      </x:c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43" t="n">
        <x:f>'台北每日數據'!A462</x:f>
        <x:v>46294</x:v>
      </x:c>
      <x:c r="B462" s="44" t="str">
        <x:f>IF(COUNT('台北每日數據'!C462:D462)=2,'台北每日數據'!B462,"")</x:f>
      </x:c>
      <x:c r="C462" s="44" t="str">
        <x:f>IF(COUNT('新北每日數據'!C462:D462)=2,'新北每日數據'!B462,"")</x:f>
      </x:c>
      <x:c r="D462" s="44" t="str">
        <x:f>IF(COUNT(B462:C462)=2,SUM(B462:C462),"")</x:f>
      </x:c>
      <x:c r="E462" s="44" t="str">
        <x:f>IF(COUNT('台北每日數據'!C462:D462)=2,'台北每日數據'!G462,"")</x:f>
      </x:c>
      <x:c r="F462" s="44" t="str">
        <x:f>IF(COUNT('新北每日數據'!C462:D462)=2,'新北每日數據'!G462,"")</x:f>
      </x:c>
      <x:c r="G462" s="44" t="str">
        <x:f>IF(COUNT(E462:F462)=2,SUM(E462:F462),"")</x:f>
      </x:c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45" t="n">
        <x:f>'台北每日數據'!A463</x:f>
        <x:v>46295</x:v>
      </x:c>
      <x:c r="B463" s="46" t="str">
        <x:f>IF(COUNT('台北每日數據'!C463:D463)=2,'台北每日數據'!B463,"")</x:f>
      </x:c>
      <x:c r="C463" s="46" t="str">
        <x:f>IF(COUNT('新北每日數據'!C463:D463)=2,'新北每日數據'!B463,"")</x:f>
      </x:c>
      <x:c r="D463" s="46" t="str">
        <x:f>IF(COUNT(B463:C463)=2,SUM(B463:C463),"")</x:f>
      </x:c>
      <x:c r="E463" s="46" t="str">
        <x:f>IF(COUNT('台北每日數據'!C463:D463)=2,'台北每日數據'!G463,"")</x:f>
      </x:c>
      <x:c r="F463" s="46" t="str">
        <x:f>IF(COUNT('新北每日數據'!C463:D463)=2,'新北每日數據'!G463,"")</x:f>
      </x:c>
      <x:c r="G463" s="46" t="str">
        <x:f>IF(COUNT(E463:F463)=2,SUM(E463:F463),"")</x:f>
      </x:c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1:G1"/>
    <x:mergeCell ref="A2:G2"/>
  </x:mergeCells>
  <x:conditionalFormatting sqref="A7:G463">
    <x:cfRule type="expression" dxfId="2" priority="1">
      <x:formula>$A7&gt;$D$4</x:formula>
    </x:cfRule>
  </x:conditionalFormatting>
  <x:pageMargins left="0.7" right="0.7" top="0.75" bottom="0.75" header="0.3" footer="0.3"/>
  <x:legacyDrawing xmlns:r="http://schemas.openxmlformats.org/officeDocument/2006/relationships" r:id="R0ffd3daf52a745c5"/>
  <x:tableParts count="1">
    <x:tablePart xmlns:r="http://schemas.openxmlformats.org/officeDocument/2006/relationships" r:id="Re810c96b9d6c4de9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  <x:col min="5" max="5" width="21" hidden="0" customWidth="1"/>
    <x:col min="6" max="6" width="18" hidden="0" customWidth="1"/>
    <x:col min="7" max="7" width="15" hidden="0" customWidth="1"/>
    <x:col min="8" max="8" width="15" hidden="0" customWidth="1"/>
    <x:col min="9" max="9" width="14" hidden="0" customWidth="1"/>
    <x:col min="10" max="10" width="21" hidden="0" customWidth="1"/>
    <x:col min="11" max="11" width="18" hidden="0" customWidth="1"/>
  </x:cols>
  <x:sheetData>
    <x:row r="1" ht="30" customHeight="1">
      <x:c r="A1" s="64" t="str">
        <x:v>雙北逐月 2.0E 與敬老愛心相關比例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1"/>
      <x:c r="M1" s="1"/>
      <x:c r="N1" s="1"/>
      <x:c r="O1" s="1"/>
      <x:c r="P1" s="1"/>
      <x:c r="Q1" s="1"/>
    </x:row>
    <x:row r="2" ht="28" customHeight="1">
      <x:c r="A2" s="67" t="str">
        <x:v>2025-07 至 2026-09/27｜2.0E比例＝2.0E租借次數÷總用量｜115.9敬老愛心比例＝2.0E敬老使用次數÷2.0E租借次數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1"/>
      <x:c r="M2" s="1"/>
      <x:c r="N2" s="1"/>
      <x:c r="O2" s="1"/>
      <x:c r="P2" s="1"/>
      <x:c r="Q2" s="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76" t="str">
        <x:v>台北市</x:v>
      </x:c>
      <x:c r="C5" s="77"/>
      <x:c r="D5" s="77"/>
      <x:c r="E5" s="77"/>
      <x:c r="F5" s="77"/>
      <x:c r="G5" s="77" t="str">
        <x:v>新北市</x:v>
      </x:c>
      <x:c r="H5" s="77"/>
      <x:c r="I5" s="77"/>
      <x:c r="J5" s="77"/>
      <x:c r="K5" s="78"/>
      <x:c r="L5" s="1"/>
      <x:c r="M5" s="1"/>
      <x:c r="N5" s="1"/>
      <x:c r="O5" s="1"/>
      <x:c r="P5" s="1"/>
      <x:c r="Q5" s="1"/>
    </x:row>
    <x:row r="6" ht="42" customHeight="1">
      <x:c r="A6" s="88" t="str">
        <x:v>月份</x:v>
      </x:c>
      <x:c r="B6" s="89" t="str">
        <x:v>台北總用量</x:v>
      </x:c>
      <x:c r="C6" s="89" t="str">
        <x:v>台北2.0E次數</x:v>
      </x:c>
      <x:c r="D6" s="89" t="str">
        <x:v>台北2.0E比例</x:v>
      </x:c>
      <x:c r="E6" s="89" t="str">
        <x:v>台北65歲以上2.0E次數</x:v>
      </x:c>
      <x:c r="F6" s="89" t="str">
        <x:v>台北65歲以上占2.0E</x:v>
      </x:c>
      <x:c r="G6" s="89" t="str">
        <x:v>新北總用量</x:v>
      </x:c>
      <x:c r="H6" s="89" t="str">
        <x:v>新北2.0E次數</x:v>
      </x:c>
      <x:c r="I6" s="89" t="str">
        <x:v>新北2.0E比例</x:v>
      </x:c>
      <x:c r="J6" s="89" t="str">
        <x:v>新北65歲以上2.0E次數</x:v>
      </x:c>
      <x:c r="K6" s="90" t="str">
        <x:v>新北65歲以上占2.0E</x:v>
      </x:c>
      <x:c r="L6" s="1"/>
      <x:c r="M6" s="1"/>
      <x:c r="N6" s="1"/>
      <x:c r="O6" s="1"/>
      <x:c r="P6" s="1"/>
      <x:c r="Q6" s="1"/>
    </x:row>
    <x:row r="7">
      <x:c r="A7" s="122" t="str">
        <x:v>2025-07</x:v>
      </x:c>
      <x:c r="B7" s="127" t="n">
        <x:f>SUM('台北每日數據'!B7:B37)</x:f>
        <x:v>6640633</x:v>
      </x:c>
      <x:c r="C7" s="127" t="n">
        <x:f>SUM('台北每日數據'!D7:D37)</x:f>
        <x:v>261965</x:v>
      </x:c>
      <x:c r="D7" s="128" t="n">
        <x:f>IF(B7=0,"",C7/B7)</x:f>
        <x:v>0.03944879953462268</x:v>
      </x:c>
      <x:c r="E7" s="127" t="n">
        <x:v>24627</x:v>
      </x:c>
      <x:c r="F7" s="128" t="n">
        <x:f>IF(C7=0,"",E7/C7)</x:f>
        <x:v>0.0940087416257897</x:v>
      </x:c>
      <x:c r="G7" s="127" t="n">
        <x:f>SUM('新北每日數據'!B7:B37)</x:f>
        <x:v>3437103</x:v>
      </x:c>
      <x:c r="H7" s="127" t="n">
        <x:f>SUM('新北每日數據'!D7:D37)</x:f>
        <x:v>243761</x:v>
      </x:c>
      <x:c r="I7" s="128" t="n">
        <x:f>IF(G7=0,"",H7/G7)</x:f>
        <x:v>0.07092048157998175</x:v>
      </x:c>
      <x:c r="J7" s="127" t="n">
        <x:v>15765</x:v>
      </x:c>
      <x:c r="K7" s="128" t="n">
        <x:f>IF(H7=0,"",J7/H7)</x:f>
        <x:v>0.06467400445518356</x:v>
      </x:c>
      <x:c r="L7" s="1"/>
      <x:c r="M7" s="1"/>
      <x:c r="N7" s="1"/>
      <x:c r="O7" s="1"/>
      <x:c r="P7" s="1"/>
      <x:c r="Q7" s="1"/>
    </x:row>
    <x:row r="8">
      <x:c r="A8" s="123" t="str">
        <x:v>2025-08</x:v>
      </x:c>
      <x:c r="B8" s="129" t="n">
        <x:f>SUM('台北每日數據'!B38:B68)</x:f>
        <x:v>7430044</x:v>
      </x:c>
      <x:c r="C8" s="129" t="n">
        <x:f>SUM('台北每日數據'!D38:D68)</x:f>
        <x:v>307403</x:v>
      </x:c>
      <x:c r="D8" s="130" t="n">
        <x:f>IF(B8=0,"",C8/B8)</x:f>
        <x:v>0.041372971680921404</x:v>
      </x:c>
      <x:c r="E8" s="129" t="n">
        <x:v>26905</x:v>
      </x:c>
      <x:c r="F8" s="130" t="n">
        <x:f>IF(C8=0,"",E8/C8)</x:f>
        <x:v>0.08752354401225752</x:v>
      </x:c>
      <x:c r="G8" s="129" t="n">
        <x:f>SUM('新北每日數據'!B38:B68)</x:f>
        <x:v>3934270</x:v>
      </x:c>
      <x:c r="H8" s="129" t="n">
        <x:f>SUM('新北每日數據'!D38:D68)</x:f>
        <x:v>290229</x:v>
      </x:c>
      <x:c r="I8" s="130" t="n">
        <x:f>IF(G8=0,"",H8/G8)</x:f>
        <x:v>0.07376946676257604</x:v>
      </x:c>
      <x:c r="J8" s="129" t="n">
        <x:v>18165</x:v>
      </x:c>
      <x:c r="K8" s="130" t="n">
        <x:f>IF(H8=0,"",J8/H8)</x:f>
        <x:v>0.06258850769564724</x:v>
      </x:c>
      <x:c r="L8" s="1"/>
      <x:c r="M8" s="1"/>
      <x:c r="N8" s="1"/>
      <x:c r="O8" s="1"/>
      <x:c r="P8" s="1"/>
      <x:c r="Q8" s="1"/>
    </x:row>
    <x:row r="9">
      <x:c r="A9" s="124" t="str">
        <x:v>2025-09</x:v>
      </x:c>
      <x:c r="B9" s="131" t="n">
        <x:f>SUM('台北每日數據'!B69:B98)</x:f>
        <x:v>7600053</x:v>
      </x:c>
      <x:c r="C9" s="131" t="n">
        <x:f>SUM('台北每日數據'!D69:D98)</x:f>
        <x:v>376581</x:v>
      </x:c>
      <x:c r="D9" s="132" t="n">
        <x:f>IF(B9=0,"",C9/B9)</x:f>
        <x:v>0.04954978603438687</x:v>
      </x:c>
      <x:c r="E9" s="131" t="n">
        <x:v>29428</x:v>
      </x:c>
      <x:c r="F9" s="132" t="n">
        <x:f>IF(C9=0,"",E9/C9)</x:f>
        <x:v>0.07814520647616316</x:v>
      </x:c>
      <x:c r="G9" s="131" t="n">
        <x:f>SUM('新北每日數據'!B69:B98)</x:f>
        <x:v>3941056</x:v>
      </x:c>
      <x:c r="H9" s="131" t="n">
        <x:f>SUM('新北每日數據'!D69:D98)</x:f>
        <x:v>274036</x:v>
      </x:c>
      <x:c r="I9" s="132" t="n">
        <x:f>IF(G9=0,"",H9/G9)</x:f>
        <x:v>0.06953364783448902</x:v>
      </x:c>
      <x:c r="J9" s="131" t="n">
        <x:v>16917</x:v>
      </x:c>
      <x:c r="K9" s="132" t="n">
        <x:f>IF(H9=0,"",J9/H9)</x:f>
        <x:v>0.06173276503817017</x:v>
      </x:c>
      <x:c r="L9" s="1"/>
      <x:c r="M9" s="1"/>
      <x:c r="N9" s="1"/>
      <x:c r="O9" s="1"/>
      <x:c r="P9" s="1"/>
      <x:c r="Q9" s="1"/>
    </x:row>
    <x:row r="10">
      <x:c r="A10" s="123" t="str">
        <x:v>2025-10</x:v>
      </x:c>
      <x:c r="B10" s="129" t="n">
        <x:f>SUM('台北每日數據'!B99:B129)</x:f>
        <x:v>6600331</x:v>
      </x:c>
      <x:c r="C10" s="129" t="n">
        <x:f>SUM('台北每日數據'!D99:D129)</x:f>
        <x:v>319393</x:v>
      </x:c>
      <x:c r="D10" s="130" t="n">
        <x:f>IF(B10=0,"",C10/B10)</x:f>
        <x:v>0.04839045193339546</x:v>
      </x:c>
      <x:c r="E10" s="129" t="n">
        <x:v>27063</x:v>
      </x:c>
      <x:c r="F10" s="130" t="n">
        <x:f>IF(C10=0,"",E10/C10)</x:f>
        <x:v>0.08473260215471222</x:v>
      </x:c>
      <x:c r="G10" s="129" t="n">
        <x:f>SUM('新北每日數據'!B99:B129)</x:f>
        <x:v>3502587</x:v>
      </x:c>
      <x:c r="H10" s="129" t="n">
        <x:f>SUM('新北每日數據'!D99:D129)</x:f>
        <x:v>239939</x:v>
      </x:c>
      <x:c r="I10" s="130" t="n">
        <x:f>IF(G10=0,"",H10/G10)</x:f>
        <x:v>0.0685033662261637</x:v>
      </x:c>
      <x:c r="J10" s="129" t="n">
        <x:v>15629</x:v>
      </x:c>
      <x:c r="K10" s="130" t="n">
        <x:f>IF(H10=0,"",J10/H10)</x:f>
        <x:v>0.06513738908639279</x:v>
      </x:c>
      <x:c r="L10" s="1"/>
      <x:c r="M10" s="1"/>
      <x:c r="N10" s="1"/>
      <x:c r="O10" s="1"/>
      <x:c r="P10" s="1"/>
      <x:c r="Q10" s="1"/>
    </x:row>
    <x:row r="11">
      <x:c r="A11" s="124" t="str">
        <x:v>2025-11</x:v>
      </x:c>
      <x:c r="B11" s="131" t="n">
        <x:f>SUM('台北每日數據'!B130:B159)</x:f>
        <x:v>6947547</x:v>
      </x:c>
      <x:c r="C11" s="131" t="n">
        <x:f>SUM('台北每日數據'!D130:D159)</x:f>
        <x:v>337686</x:v>
      </x:c>
      <x:c r="D11" s="132" t="n">
        <x:f>IF(B11=0,"",C11/B11)</x:f>
        <x:v>0.048605068810617616</x:v>
      </x:c>
      <x:c r="E11" s="131" t="n">
        <x:v>28156</x:v>
      </x:c>
      <x:c r="F11" s="132" t="n">
        <x:f>IF(C11=0,"",E11/C11)</x:f>
        <x:v>0.08337923396291229</x:v>
      </x:c>
      <x:c r="G11" s="131" t="n">
        <x:f>SUM('新北每日數據'!B130:B159)</x:f>
        <x:v>3608396</x:v>
      </x:c>
      <x:c r="H11" s="131" t="n">
        <x:f>SUM('新北每日數據'!D130:D159)</x:f>
        <x:v>241686</x:v>
      </x:c>
      <x:c r="I11" s="132" t="n">
        <x:f>IF(G11=0,"",H11/G11)</x:f>
        <x:v>0.06697879057620061</x:v>
      </x:c>
      <x:c r="J11" s="131" t="n">
        <x:v>15918</x:v>
      </x:c>
      <x:c r="K11" s="132" t="n">
        <x:f>IF(H11=0,"",J11/H11)</x:f>
        <x:v>0.06586231722151883</x:v>
      </x:c>
      <x:c r="L11" s="1"/>
      <x:c r="M11" s="1"/>
      <x:c r="N11" s="1"/>
      <x:c r="O11" s="1"/>
      <x:c r="P11" s="1"/>
      <x:c r="Q11" s="1"/>
    </x:row>
    <x:row r="12">
      <x:c r="A12" s="123" t="str">
        <x:v>2025-12</x:v>
      </x:c>
      <x:c r="B12" s="129" t="n">
        <x:f>SUM('台北每日數據'!B160:B190)</x:f>
        <x:v>7309242</x:v>
      </x:c>
      <x:c r="C12" s="129" t="n">
        <x:f>SUM('台北每日數據'!D160:D190)</x:f>
        <x:v>381726</x:v>
      </x:c>
      <x:c r="D12" s="130" t="n">
        <x:f>IF(B12=0,"",C12/B12)</x:f>
        <x:v>0.052225114450992316</x:v>
      </x:c>
      <x:c r="E12" s="129" t="n">
        <x:v>30429</x:v>
      </x:c>
      <x:c r="F12" s="130" t="n">
        <x:f>IF(C12=0,"",E12/C12)</x:f>
        <x:v>0.07971424529636441</x:v>
      </x:c>
      <x:c r="G12" s="129" t="n">
        <x:f>SUM('新北每日數據'!B160:B190)</x:f>
        <x:v>3732563</x:v>
      </x:c>
      <x:c r="H12" s="129" t="n">
        <x:f>SUM('新北每日數據'!D160:D190)</x:f>
        <x:v>241586</x:v>
      </x:c>
      <x:c r="I12" s="130" t="n">
        <x:f>IF(G12=0,"",H12/G12)</x:f>
        <x:v>0.06472389079568114</x:v>
      </x:c>
      <x:c r="J12" s="129" t="n">
        <x:v>15418</x:v>
      </x:c>
      <x:c r="K12" s="130" t="n">
        <x:f>IF(H12=0,"",J12/H12)</x:f>
        <x:v>0.06381992333992864</x:v>
      </x:c>
      <x:c r="L12" s="1"/>
      <x:c r="M12" s="1"/>
      <x:c r="N12" s="1"/>
      <x:c r="O12" s="1"/>
      <x:c r="P12" s="1"/>
      <x:c r="Q12" s="1"/>
    </x:row>
    <x:row r="13">
      <x:c r="A13" s="124" t="str">
        <x:v>2026-01</x:v>
      </x:c>
      <x:c r="B13" s="131" t="n">
        <x:f>SUM('台北每日數據'!B191:B221)</x:f>
        <x:v>6810359</x:v>
      </x:c>
      <x:c r="C13" s="131" t="n">
        <x:f>SUM('台北每日數據'!D191:D221)</x:f>
        <x:v>363375</x:v>
      </x:c>
      <x:c r="D13" s="132" t="n">
        <x:f>IF(B13=0,"",C13/B13)</x:f>
        <x:v>0.053356218078958836</x:v>
      </x:c>
      <x:c r="E13" s="131" t="n">
        <x:v>28869</x:v>
      </x:c>
      <x:c r="F13" s="132" t="n">
        <x:f>IF(C13=0,"",E13/C13)</x:f>
        <x:v>0.0794468524251806</x:v>
      </x:c>
      <x:c r="G13" s="131" t="n">
        <x:f>SUM('新北每日數據'!B191:B221)</x:f>
        <x:v>3676259</x:v>
      </x:c>
      <x:c r="H13" s="131" t="n">
        <x:f>SUM('新北每日數據'!D191:D221)</x:f>
        <x:v>251266</x:v>
      </x:c>
      <x:c r="I13" s="132" t="n">
        <x:f>IF(G13=0,"",H13/G13)</x:f>
        <x:v>0.06834828558053173</x:v>
      </x:c>
      <x:c r="J13" s="131" t="n">
        <x:v>15297</x:v>
      </x:c>
      <x:c r="K13" s="132" t="n">
        <x:f>IF(H13=0,"",J13/H13)</x:f>
        <x:v>0.06087970517300391</x:v>
      </x:c>
      <x:c r="L13" s="1"/>
      <x:c r="M13" s="1"/>
      <x:c r="N13" s="1"/>
      <x:c r="O13" s="1"/>
      <x:c r="P13" s="1"/>
      <x:c r="Q13" s="1"/>
    </x:row>
    <x:row r="14">
      <x:c r="A14" s="123" t="str">
        <x:v>2026-02</x:v>
      </x:c>
      <x:c r="B14" s="129" t="n">
        <x:f>SUM('台北每日數據'!B222:B249)</x:f>
        <x:v>5837647</x:v>
      </x:c>
      <x:c r="C14" s="129" t="n">
        <x:f>SUM('台北每日數據'!D222:D249)</x:f>
        <x:v>337127</x:v>
      </x:c>
      <x:c r="D14" s="130" t="n">
        <x:f>IF(B14=0,"",C14/B14)</x:f>
        <x:v>0.05775049433444674</x:v>
      </x:c>
      <x:c r="E14" s="129" t="n">
        <x:v>28287</x:v>
      </x:c>
      <x:c r="F14" s="130" t="n">
        <x:f>IF(C14=0,"",E14/C14)</x:f>
        <x:v>0.08390606507339964</x:v>
      </x:c>
      <x:c r="G14" s="129" t="n">
        <x:f>SUM('新北每日數據'!B222:B249)</x:f>
        <x:v>3255507</x:v>
      </x:c>
      <x:c r="H14" s="129" t="n">
        <x:f>SUM('新北每日數據'!D222:D249)</x:f>
        <x:v>241739</x:v>
      </x:c>
      <x:c r="I14" s="130" t="n">
        <x:f>IF(G14=0,"",H14/G14)</x:f>
        <x:v>0.07425540783662883</x:v>
      </x:c>
      <x:c r="J14" s="129" t="n">
        <x:v>15405</x:v>
      </x:c>
      <x:c r="K14" s="130" t="n">
        <x:f>IF(H14=0,"",J14/H14)</x:f>
        <x:v>0.06372575380885998</x:v>
      </x:c>
      <x:c r="L14" s="1"/>
      <x:c r="M14" s="1"/>
      <x:c r="N14" s="1"/>
      <x:c r="O14" s="1"/>
      <x:c r="P14" s="1"/>
      <x:c r="Q14" s="1"/>
    </x:row>
    <x:row r="15">
      <x:c r="A15" s="124" t="str">
        <x:v>2026-03</x:v>
      </x:c>
      <x:c r="B15" s="131" t="n">
        <x:f>SUM('台北每日數據'!B250:B280)</x:f>
        <x:v>7751464</x:v>
      </x:c>
      <x:c r="C15" s="131" t="n">
        <x:f>SUM('台北每日數據'!D250:D280)</x:f>
        <x:v>478039</x:v>
      </x:c>
      <x:c r="D15" s="132" t="n">
        <x:f>IF(B15=0,"",C15/B15)</x:f>
        <x:v>0.06167080179950523</x:v>
      </x:c>
      <x:c r="E15" s="131" t="n">
        <x:v>33072</x:v>
      </x:c>
      <x:c r="F15" s="132" t="n">
        <x:f>IF(C15=0,"",E15/C15)</x:f>
        <x:v>0.06918263991013286</x:v>
      </x:c>
      <x:c r="G15" s="131" t="n">
        <x:f>SUM('新北每日數據'!B250:B280)</x:f>
        <x:v>4130060</x:v>
      </x:c>
      <x:c r="H15" s="131" t="n">
        <x:f>SUM('新北每日數據'!D250:D280)</x:f>
        <x:v>283640</x:v>
      </x:c>
      <x:c r="I15" s="132" t="n">
        <x:f>IF(G15=0,"",H15/G15)</x:f>
        <x:v>0.06867696837334082</x:v>
      </x:c>
      <x:c r="J15" s="131" t="n">
        <x:v>16243</x:v>
      </x:c>
      <x:c r="K15" s="132" t="n">
        <x:f>IF(H15=0,"",J15/H15)</x:f>
        <x:v>0.05726625299675645</x:v>
      </x:c>
      <x:c r="L15" s="1"/>
      <x:c r="M15" s="1"/>
      <x:c r="N15" s="1"/>
      <x:c r="O15" s="1"/>
      <x:c r="P15" s="1"/>
      <x:c r="Q15" s="1"/>
    </x:row>
    <x:row r="16">
      <x:c r="A16" s="123" t="str">
        <x:v>2026-04</x:v>
      </x:c>
      <x:c r="B16" s="129" t="n">
        <x:f>SUM('台北每日數據'!B281:B310)</x:f>
        <x:v>7389038</x:v>
      </x:c>
      <x:c r="C16" s="129" t="n">
        <x:f>SUM('台北每日數據'!D281:D310)</x:f>
        <x:v>456581</x:v>
      </x:c>
      <x:c r="D16" s="130" t="n">
        <x:f>IF(B16=0,"",C16/B16)</x:f>
        <x:v>0.0617916703094503</x:v>
      </x:c>
      <x:c r="E16" s="129" t="n">
        <x:v>30175</x:v>
      </x:c>
      <x:c r="F16" s="130" t="n">
        <x:f>IF(C16=0,"",E16/C16)</x:f>
        <x:v>0.06608904006079973</x:v>
      </x:c>
      <x:c r="G16" s="129" t="n">
        <x:f>SUM('新北每日數據'!B281:B310)</x:f>
        <x:v>4000609</x:v>
      </x:c>
      <x:c r="H16" s="129" t="n">
        <x:f>SUM('新北每日數據'!D281:D310)</x:f>
        <x:v>290408</x:v>
      </x:c>
      <x:c r="I16" s="130" t="n">
        <x:f>IF(G16=0,"",H16/G16)</x:f>
        <x:v>0.07259094802816271</x:v>
      </x:c>
      <x:c r="J16" s="129" t="n">
        <x:v>15697</x:v>
      </x:c>
      <x:c r="K16" s="130" t="n">
        <x:f>IF(H16=0,"",J16/H16)</x:f>
        <x:v>0.05405154127985455</x:v>
      </x:c>
      <x:c r="L16" s="1"/>
      <x:c r="M16" s="1"/>
      <x:c r="N16" s="1"/>
      <x:c r="O16" s="1"/>
      <x:c r="P16" s="1"/>
      <x:c r="Q16" s="1"/>
    </x:row>
    <x:row r="17">
      <x:c r="A17" s="124" t="str">
        <x:v>2026-05</x:v>
      </x:c>
      <x:c r="B17" s="131" t="n">
        <x:f>SUM('台北每日數據'!B311:B341)</x:f>
        <x:v>8197979</x:v>
      </x:c>
      <x:c r="C17" s="131" t="n">
        <x:f>SUM('台北每日數據'!D311:D341)</x:f>
        <x:v>543150</x:v>
      </x:c>
      <x:c r="D17" s="132" t="n">
        <x:f>IF(B17=0,"",C17/B17)</x:f>
        <x:v>0.06625413409817224</x:v>
      </x:c>
      <x:c r="E17" s="131" t="n">
        <x:v>33531</x:v>
      </x:c>
      <x:c r="F17" s="132" t="n">
        <x:f>IF(C17=0,"",E17/C17)</x:f>
        <x:v>0.06173432753383044</x:v>
      </x:c>
      <x:c r="G17" s="131" t="n">
        <x:f>SUM('新北每日數據'!B311:B341)</x:f>
        <x:v>4587782</x:v>
      </x:c>
      <x:c r="H17" s="131" t="n">
        <x:f>SUM('新北每日數據'!D311:D341)</x:f>
        <x:v>354134</x:v>
      </x:c>
      <x:c r="I17" s="132" t="n">
        <x:f>IF(G17=0,"",H17/G17)</x:f>
        <x:v>0.07719067732512137</x:v>
      </x:c>
      <x:c r="J17" s="131" t="n">
        <x:v>18343</x:v>
      </x:c>
      <x:c r="K17" s="132" t="n">
        <x:f>IF(H17=0,"",J17/H17)</x:f>
        <x:v>0.05179677749100623</x:v>
      </x:c>
      <x:c r="L17" s="1"/>
      <x:c r="M17" s="1"/>
      <x:c r="N17" s="1"/>
      <x:c r="O17" s="1"/>
      <x:c r="P17" s="1"/>
      <x:c r="Q17" s="1"/>
    </x:row>
    <x:row r="18">
      <x:c r="A18" s="123" t="str">
        <x:v>2026-06</x:v>
      </x:c>
      <x:c r="B18" s="129" t="n">
        <x:f>SUM('台北每日數據'!B342:B371)</x:f>
        <x:v>6406441</x:v>
      </x:c>
      <x:c r="C18" s="129" t="n">
        <x:f>SUM('台北每日數據'!D342:D371)</x:f>
        <x:v>435473</x:v>
      </x:c>
      <x:c r="D18" s="130" t="n">
        <x:f>IF(B18=0,"",C18/B18)</x:f>
        <x:v>0.06797424654343964</x:v>
      </x:c>
      <x:c r="E18" s="129" t="n">
        <x:v>28705</x:v>
      </x:c>
      <x:c r="F18" s="130" t="n">
        <x:f>IF(C18=0,"",E18/C18)</x:f>
        <x:v>0.0659168306645877</x:v>
      </x:c>
      <x:c r="G18" s="129" t="n">
        <x:f>SUM('新北每日數據'!B342:B371)</x:f>
        <x:v>3621529</x:v>
      </x:c>
      <x:c r="H18" s="129" t="n">
        <x:f>SUM('新北每日數據'!D342:D371)</x:f>
        <x:v>275391</x:v>
      </x:c>
      <x:c r="I18" s="130" t="n">
        <x:f>IF(G18=0,"",H18/G18)</x:f>
        <x:v>0.07604274327224772</x:v>
      </x:c>
      <x:c r="J18" s="129" t="n">
        <x:v>14884</x:v>
      </x:c>
      <x:c r="K18" s="130" t="n">
        <x:f>IF(H18=0,"",J18/H18)</x:f>
        <x:v>0.054046791652595766</x:v>
      </x:c>
      <x:c r="L18" s="1"/>
      <x:c r="M18" s="1"/>
      <x:c r="N18" s="1"/>
      <x:c r="O18" s="1"/>
      <x:c r="P18" s="1"/>
      <x:c r="Q18" s="1"/>
    </x:row>
    <x:row r="19">
      <x:c r="A19" s="124" t="str">
        <x:v>2026-07</x:v>
      </x:c>
      <x:c r="B19" s="131" t="n">
        <x:f>SUM('台北每日數據'!B372:B402)</x:f>
        <x:v>7755642</x:v>
      </x:c>
      <x:c r="C19" s="131" t="n">
        <x:f>SUM('台北每日數據'!D372:D402)</x:f>
        <x:v>674111</x:v>
      </x:c>
      <x:c r="D19" s="132" t="n">
        <x:f>IF(B19=0,"",C19/B19)</x:f>
        <x:v>0.08691878763872804</x:v>
      </x:c>
      <x:c r="E19" s="131" t="n">
        <x:v>97427</x:v>
      </x:c>
      <x:c r="F19" s="132" t="n">
        <x:f>IF(C19=0,"",E19/C19)</x:f>
        <x:v>0.14452664323827974</x:v>
      </x:c>
      <x:c r="G19" s="131" t="n">
        <x:f>SUM('新北每日數據'!B372:B402)</x:f>
        <x:v>4359122</x:v>
      </x:c>
      <x:c r="H19" s="131" t="n">
        <x:f>SUM('新北每日數據'!D372:D402)</x:f>
        <x:v>358943</x:v>
      </x:c>
      <x:c r="I19" s="132" t="n">
        <x:f>IF(G19=0,"",H19/G19)</x:f>
        <x:v>0.08234295805439719</x:v>
      </x:c>
      <x:c r="J19" s="131" t="n">
        <x:v>40411</x:v>
      </x:c>
      <x:c r="K19" s="132" t="n">
        <x:f>IF(H19=0,"",J19/H19)</x:f>
        <x:v>0.1125833349584753</x:v>
      </x:c>
      <x:c r="L19" s="1"/>
      <x:c r="M19" s="1"/>
      <x:c r="N19" s="1"/>
      <x:c r="O19" s="1"/>
      <x:c r="P19" s="1"/>
      <x:c r="Q19" s="1"/>
    </x:row>
    <x:row r="20">
      <x:c r="A20" s="125" t="str">
        <x:v>2026-08</x:v>
      </x:c>
      <x:c r="B20" s="133" t="n">
        <x:f>SUM('台北每日數據'!B403:B433)</x:f>
        <x:v>7418322</x:v>
      </x:c>
      <x:c r="C20" s="133" t="n">
        <x:f>SUM('台北每日數據'!D403:D433)</x:f>
        <x:v>710468</x:v>
      </x:c>
      <x:c r="D20" s="134" t="n">
        <x:f>IF(B20=0,"",C20/B20)</x:f>
        <x:v>0.09577206273871638</x:v>
      </x:c>
      <x:c r="E20" s="133" t="n">
        <x:v>123256</x:v>
      </x:c>
      <x:c r="F20" s="134" t="n">
        <x:f>IF(C20=0,"",E20/C20)</x:f>
        <x:v>0.17348564608117467</x:v>
      </x:c>
      <x:c r="G20" s="133" t="n">
        <x:f>SUM('新北每日數據'!B403:B433)</x:f>
        <x:v>4290885</x:v>
      </x:c>
      <x:c r="H20" s="133" t="n">
        <x:f>SUM('新北每日數據'!D403:D433)</x:f>
        <x:v>382150</x:v>
      </x:c>
      <x:c r="I20" s="134" t="n">
        <x:f>IF(G20=0,"",H20/G20)</x:f>
        <x:v>0.08906088137994843</x:v>
      </x:c>
      <x:c r="J20" s="133" t="n">
        <x:v>47685</x:v>
      </x:c>
      <x:c r="K20" s="134" t="n">
        <x:f>IF(H20=0,"",J20/H20)</x:f>
        <x:v>0.1247808452178464</x:v>
      </x:c>
      <x:c r="L20" s="1"/>
      <x:c r="M20" s="1"/>
      <x:c r="N20" s="1"/>
      <x:c r="O20" s="1"/>
      <x:c r="P20" s="1"/>
      <x:c r="Q20" s="1"/>
    </x:row>
    <x:row r="21">
      <x:c r="A21" s="126" t="str">
        <x:v>2026-09*</x:v>
      </x:c>
      <x:c r="B21" s="135" t="n">
        <x:v>6798269</x:v>
      </x:c>
      <x:c r="C21" s="135" t="n">
        <x:v>667755</x:v>
      </x:c>
      <x:c r="D21" s="136" t="n">
        <x:v>0.09822426856012906</x:v>
      </x:c>
      <x:c r="E21" s="135" t="n">
        <x:v>233981</x:v>
      </x:c>
      <x:c r="F21" s="136" t="n">
        <x:v>0.3503994728605551</x:v>
      </x:c>
      <x:c r="G21" s="135" t="n">
        <x:v>3826282</x:v>
      </x:c>
      <x:c r="H21" s="135" t="n">
        <x:v>346948</x:v>
      </x:c>
      <x:c r="I21" s="136" t="n">
        <x:v>0.09067496854648978</x:v>
      </x:c>
      <x:c r="J21" s="135" t="n">
        <x:v>92900</x:v>
      </x:c>
      <x:c r="K21" s="136" t="n">
        <x:v>0.26776346887718044</x:v>
      </x:c>
      <x:c r="L21" s="1"/>
      <x:c r="M21" s="1"/>
      <x:c r="N21" s="1"/>
      <x:c r="O21" s="1"/>
      <x:c r="P21" s="1"/>
      <x:c r="Q21" s="1"/>
    </x:row>
    <x:row r="22">
      <x:c r="A22" s="1" t="str">
        <x:v>期間合計</x:v>
      </x:c>
      <x:c r="B22" s="1" t="n">
        <x:v>106893011</x:v>
      </x:c>
      <x:c r="C22" s="1" t="n">
        <x:v>6650833</x:v>
      </x:c>
      <x:c r="D22" s="1" t="n">
        <x:v>0.06221953089150047</x:v>
      </x:c>
      <x:c r="E22" s="1" t="n">
        <x:v>803911</x:v>
      </x:c>
      <x:c r="F22" s="1" t="n">
        <x:v>0.12087373115518012</x:v>
      </x:c>
      <x:c r="G22" s="1" t="n">
        <x:v>57904010</x:v>
      </x:c>
      <x:c r="H22" s="1" t="n">
        <x:v>4315856</x:v>
      </x:c>
      <x:c r="I22" s="1" t="n">
        <x:v>0.07453466521575967</x:v>
      </x:c>
      <x:c r="J22" s="1" t="n">
        <x:v>374677</x:v>
      </x:c>
      <x:c r="K22" s="1" t="n">
        <x:v>0.0868140642319855</x:v>
      </x:c>
      <x:c r="L22" s="1"/>
      <x:c r="M22" s="1"/>
      <x:c r="N22" s="1"/>
      <x:c r="O22" s="1"/>
      <x:c r="P22" s="1"/>
      <x:c r="Q22" s="1"/>
    </x:row>
    <x:row r="23" ht="28" customHeight="1">
      <x:c r="A23" s="119" t="str">
        <x:v>2025-07～2026-08為Looker Studio「65~100歲」；2026-09截至9/27採2.0E「敬老使用次數」，台北9/1～9/23與表單W欄一致。</x:v>
      </x:c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69" t="str">
        <x:v>每日來源</x:v>
      </x:c>
      <x:c r="B43" s="138" t="str">
        <x:v>https://youbike-report-api-421613424541.asia-east1.run.app/report/gcpfun</x:v>
      </x:c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"/>
      <x:c r="M43" s="1"/>
      <x:c r="N43" s="1"/>
      <x:c r="O43" s="1"/>
      <x:c r="P43" s="1"/>
      <x:c r="Q43" s="1"/>
    </x:row>
    <x:row r="44">
      <x:c r="A44" s="69" t="str">
        <x:v>年齡來源</x:v>
      </x:c>
      <x:c r="B44" s="139" t="str">
        <x:v>https://datastudio.google.com/reporting/47a02eaf-102a-452c-922f-97a75e5a27e5/page/8GclC</x:v>
      </x:c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"/>
      <x:c r="M44" s="1"/>
      <x:c r="N44" s="1"/>
      <x:c r="O44" s="1"/>
      <x:c r="P44" s="1"/>
      <x:c r="Q44" s="1"/>
    </x:row>
    <x:row r="45">
      <x:c r="A45" s="69" t="str">
        <x:v>115.9檢核</x:v>
      </x:c>
      <x:c r="B45" s="140" t="str">
        <x:v>台北9/1～9/23 Report＝表單W欄（23/23）；9/24～9/27表單空白採Report，新北全期採Report。</x:v>
      </x:c>
      <x:c r="C45" s="140"/>
      <x:c r="D45" s="140"/>
      <x:c r="E45" s="140"/>
      <x:c r="F45" s="140"/>
      <x:c r="G45" s="140"/>
      <x:c r="H45" s="140"/>
      <x:c r="I45" s="140"/>
      <x:c r="J45" s="140"/>
      <x:c r="K45" s="140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1:K1"/>
    <x:mergeCell ref="A2:K2"/>
    <x:mergeCell ref="B5:F5"/>
    <x:mergeCell ref="G5:K5"/>
    <x:mergeCell ref="A23:K23"/>
    <x:mergeCell ref="B43:K43"/>
    <x:mergeCell ref="B44:K44"/>
    <x:mergeCell ref="B45:K45"/>
  </x:mergeCells>
  <x:pageMargins left="0.7" right="0.7" top="0.75" bottom="0.75" header="0.3" footer="0.3"/>
  <x:drawing xmlns:r="http://schemas.openxmlformats.org/officeDocument/2006/relationships" r:id="R25d4d75260504ee7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5" hidden="0" customWidth="1"/>
  </x:cols>
  <x:sheetData>
    <x:row r="1" ht="32" customHeight="1">
      <x:c r="A1" s="5" t="str">
        <x:v>台北市每日營運數據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9" t="str">
        <x:v>需求期間 2025-07-01～2026-09-30；Report 平台目前可得至 2026-09-27，其後日期保留列並留白。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6" customHeight="1">
      <x:c r="A4" s="16" t="str">
        <x:v>平台已取得天數</x:v>
      </x:c>
      <x:c r="B4" s="20" t="n">
        <x:v>454</x:v>
      </x:c>
      <x:c r="C4" s="18" t="str">
        <x:v>最新資料日</x:v>
      </x:c>
      <x:c r="D4" s="21" t="n">
        <x:v>46292</x:v>
      </x:c>
      <x:c r="E4" s="18" t="str">
        <x:v>未有資料日</x:v>
      </x:c>
      <x:c r="F4" s="22" t="n">
        <x:v>3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2" customHeight="1">
      <x:c r="A6" s="34" t="str">
        <x:v>日期</x:v>
      </x:c>
      <x:c r="B6" s="35" t="str">
        <x:v>總用量</x:v>
      </x:c>
      <x:c r="C6" s="35" t="str">
        <x:v>2.0次數</x:v>
      </x:c>
      <x:c r="D6" s="35" t="str">
        <x:v>2.0E次數</x:v>
      </x:c>
      <x:c r="E6" s="35" t="str">
        <x:v>2.0合約車輛數</x:v>
      </x:c>
      <x:c r="F6" s="35" t="str">
        <x:v>2.0E合約車輛數</x:v>
      </x:c>
      <x:c r="G6" s="36" t="str">
        <x:v>2.0E敬老愛心卡使用次數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41" t="n">
        <x:v>45839</x:v>
      </x:c>
      <x:c r="B7" s="42" t="n">
        <x:f>IF(COUNT(C7:D7)=2,SUM(C7:D7),"")</x:f>
        <x:v>256372</x:v>
      </x:c>
      <x:c r="C7" s="42" t="n">
        <x:v>246737</x:v>
      </x:c>
      <x:c r="D7" s="42" t="n">
        <x:v>9635</x:v>
      </x:c>
      <x:c r="E7" s="42" t="n">
        <x:v>21720</x:v>
      </x:c>
      <x:c r="F7" s="42" t="n">
        <x:v>1800</x:v>
      </x:c>
      <x:c r="G7" s="42" t="n">
        <x:v>951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43" t="n">
        <x:v>45840</x:v>
      </x:c>
      <x:c r="B8" s="44" t="n">
        <x:f>IF(COUNT(C8:D8)=2,SUM(C8:D8),"")</x:f>
        <x:v>255941</x:v>
      </x:c>
      <x:c r="C8" s="44" t="n">
        <x:v>246264</x:v>
      </x:c>
      <x:c r="D8" s="44" t="n">
        <x:v>9677</x:v>
      </x:c>
      <x:c r="E8" s="44" t="n">
        <x:v>21720</x:v>
      </x:c>
      <x:c r="F8" s="44" t="n">
        <x:v>1800</x:v>
      </x:c>
      <x:c r="G8" s="44" t="n">
        <x:v>971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43" t="n">
        <x:v>45841</x:v>
      </x:c>
      <x:c r="B9" s="44" t="n">
        <x:f>IF(COUNT(C9:D9)=2,SUM(C9:D9),"")</x:f>
        <x:v>254849</x:v>
      </x:c>
      <x:c r="C9" s="44" t="n">
        <x:v>244842</x:v>
      </x:c>
      <x:c r="D9" s="44" t="n">
        <x:v>10007</x:v>
      </x:c>
      <x:c r="E9" s="44" t="n">
        <x:v>21720</x:v>
      </x:c>
      <x:c r="F9" s="44" t="n">
        <x:v>1800</x:v>
      </x:c>
      <x:c r="G9" s="44" t="n">
        <x:v>959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43" t="n">
        <x:v>45842</x:v>
      </x:c>
      <x:c r="B10" s="44" t="n">
        <x:f>IF(COUNT(C10:D10)=2,SUM(C10:D10),"")</x:f>
        <x:v>261087</x:v>
      </x:c>
      <x:c r="C10" s="44" t="n">
        <x:v>250635</x:v>
      </x:c>
      <x:c r="D10" s="44" t="n">
        <x:v>10452</x:v>
      </x:c>
      <x:c r="E10" s="44" t="n">
        <x:v>21720</x:v>
      </x:c>
      <x:c r="F10" s="44" t="n">
        <x:v>1800</x:v>
      </x:c>
      <x:c r="G10" s="44" t="n">
        <x:v>979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43" t="n">
        <x:v>45843</x:v>
      </x:c>
      <x:c r="B11" s="44" t="n">
        <x:f>IF(COUNT(C11:D11)=2,SUM(C11:D11),"")</x:f>
        <x:v>220629</x:v>
      </x:c>
      <x:c r="C11" s="44" t="n">
        <x:v>210387</x:v>
      </x:c>
      <x:c r="D11" s="44" t="n">
        <x:v>10242</x:v>
      </x:c>
      <x:c r="E11" s="44" t="n">
        <x:v>21804</x:v>
      </x:c>
      <x:c r="F11" s="44" t="n">
        <x:v>1920</x:v>
      </x:c>
      <x:c r="G11" s="44" t="n">
        <x:v>1045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43" t="n">
        <x:v>45844</x:v>
      </x:c>
      <x:c r="B12" s="44" t="n">
        <x:f>IF(COUNT(C12:D12)=2,SUM(C12:D12),"")</x:f>
        <x:v>170783</x:v>
      </x:c>
      <x:c r="C12" s="44" t="n">
        <x:v>163230</x:v>
      </x:c>
      <x:c r="D12" s="44" t="n">
        <x:v>7553</x:v>
      </x:c>
      <x:c r="E12" s="44" t="n">
        <x:v>21804</x:v>
      </x:c>
      <x:c r="F12" s="44" t="n">
        <x:v>1920</x:v>
      </x:c>
      <x:c r="G12" s="44" t="n">
        <x:v>775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43" t="n">
        <x:v>45845</x:v>
      </x:c>
      <x:c r="B13" s="44" t="n">
        <x:f>IF(COUNT(C13:D13)=2,SUM(C13:D13),"")</x:f>
        <x:v>157912</x:v>
      </x:c>
      <x:c r="C13" s="44" t="n">
        <x:v>152242</x:v>
      </x:c>
      <x:c r="D13" s="44" t="n">
        <x:v>5670</x:v>
      </x:c>
      <x:c r="E13" s="44" t="n">
        <x:v>21804</x:v>
      </x:c>
      <x:c r="F13" s="44" t="n">
        <x:v>1920</x:v>
      </x:c>
      <x:c r="G13" s="44" t="n">
        <x:v>574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43" t="n">
        <x:v>45846</x:v>
      </x:c>
      <x:c r="B14" s="44" t="n">
        <x:f>IF(COUNT(C14:D14)=2,SUM(C14:D14),"")</x:f>
        <x:v>262688</x:v>
      </x:c>
      <x:c r="C14" s="44" t="n">
        <x:v>252829</x:v>
      </x:c>
      <x:c r="D14" s="44" t="n">
        <x:v>9859</x:v>
      </x:c>
      <x:c r="E14" s="44" t="n">
        <x:v>21804</x:v>
      </x:c>
      <x:c r="F14" s="44" t="n">
        <x:v>1920</x:v>
      </x:c>
      <x:c r="G14" s="44" t="n">
        <x:v>1051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43" t="n">
        <x:v>45847</x:v>
      </x:c>
      <x:c r="B15" s="44" t="n">
        <x:f>IF(COUNT(C15:D15)=2,SUM(C15:D15),"")</x:f>
        <x:v>110027</x:v>
      </x:c>
      <x:c r="C15" s="44" t="n">
        <x:v>106333</x:v>
      </x:c>
      <x:c r="D15" s="44" t="n">
        <x:v>3694</x:v>
      </x:c>
      <x:c r="E15" s="44" t="n">
        <x:v>21804</x:v>
      </x:c>
      <x:c r="F15" s="44" t="n">
        <x:v>1920</x:v>
      </x:c>
      <x:c r="G15" s="44" t="n">
        <x:v>371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43" t="n">
        <x:v>45848</x:v>
      </x:c>
      <x:c r="B16" s="44" t="n">
        <x:f>IF(COUNT(C16:D16)=2,SUM(C16:D16),"")</x:f>
        <x:v>185333</x:v>
      </x:c>
      <x:c r="C16" s="44" t="n">
        <x:v>178900</x:v>
      </x:c>
      <x:c r="D16" s="44" t="n">
        <x:v>6433</x:v>
      </x:c>
      <x:c r="E16" s="44" t="n">
        <x:v>21804</x:v>
      </x:c>
      <x:c r="F16" s="44" t="n">
        <x:v>1920</x:v>
      </x:c>
      <x:c r="G16" s="44" t="n">
        <x:v>698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43" t="n">
        <x:v>45849</x:v>
      </x:c>
      <x:c r="B17" s="44" t="n">
        <x:f>IF(COUNT(C17:D17)=2,SUM(C17:D17),"")</x:f>
        <x:v>244826</x:v>
      </x:c>
      <x:c r="C17" s="44" t="n">
        <x:v>235271</x:v>
      </x:c>
      <x:c r="D17" s="44" t="n">
        <x:v>9555</x:v>
      </x:c>
      <x:c r="E17" s="44" t="n">
        <x:v>21804</x:v>
      </x:c>
      <x:c r="F17" s="44" t="n">
        <x:v>1920</x:v>
      </x:c>
      <x:c r="G17" s="44" t="n">
        <x:v>1015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43" t="n">
        <x:v>45850</x:v>
      </x:c>
      <x:c r="B18" s="44" t="n">
        <x:f>IF(COUNT(C18:D18)=2,SUM(C18:D18),"")</x:f>
        <x:v>163632</x:v>
      </x:c>
      <x:c r="C18" s="44" t="n">
        <x:v>156111</x:v>
      </x:c>
      <x:c r="D18" s="44" t="n">
        <x:v>7521</x:v>
      </x:c>
      <x:c r="E18" s="44" t="n">
        <x:v>21804</x:v>
      </x:c>
      <x:c r="F18" s="44" t="n">
        <x:v>1920</x:v>
      </x:c>
      <x:c r="G18" s="44" t="n">
        <x:v>930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43" t="n">
        <x:v>45851</x:v>
      </x:c>
      <x:c r="B19" s="44" t="n">
        <x:f>IF(COUNT(C19:D19)=2,SUM(C19:D19),"")</x:f>
        <x:v>206674</x:v>
      </x:c>
      <x:c r="C19" s="44" t="n">
        <x:v>197263</x:v>
      </x:c>
      <x:c r="D19" s="44" t="n">
        <x:v>9411</x:v>
      </x:c>
      <x:c r="E19" s="44" t="n">
        <x:v>21804</x:v>
      </x:c>
      <x:c r="F19" s="44" t="n">
        <x:v>1920</x:v>
      </x:c>
      <x:c r="G19" s="44" t="n">
        <x:v>1058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43" t="n">
        <x:v>45852</x:v>
      </x:c>
      <x:c r="B20" s="44" t="n">
        <x:f>IF(COUNT(C20:D20)=2,SUM(C20:D20),"")</x:f>
        <x:v>261151</x:v>
      </x:c>
      <x:c r="C20" s="44" t="n">
        <x:v>250914</x:v>
      </x:c>
      <x:c r="D20" s="44" t="n">
        <x:v>10237</x:v>
      </x:c>
      <x:c r="E20" s="44" t="n">
        <x:v>21804</x:v>
      </x:c>
      <x:c r="F20" s="44" t="n">
        <x:v>1920</x:v>
      </x:c>
      <x:c r="G20" s="44" t="n">
        <x:v>1137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43" t="n">
        <x:v>45853</x:v>
      </x:c>
      <x:c r="B21" s="44" t="n">
        <x:f>IF(COUNT(C21:D21)=2,SUM(C21:D21),"")</x:f>
        <x:v>263080</x:v>
      </x:c>
      <x:c r="C21" s="44" t="n">
        <x:v>252677</x:v>
      </x:c>
      <x:c r="D21" s="44" t="n">
        <x:v>10403</x:v>
      </x:c>
      <x:c r="E21" s="44" t="n">
        <x:v>21804</x:v>
      </x:c>
      <x:c r="F21" s="44" t="n">
        <x:v>1920</x:v>
      </x:c>
      <x:c r="G21" s="44" t="n">
        <x:v>1107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3" t="n">
        <x:v>45854</x:v>
      </x:c>
      <x:c r="B22" s="44" t="n">
        <x:f>IF(COUNT(C22:D22)=2,SUM(C22:D22),"")</x:f>
        <x:v>226451</x:v>
      </x:c>
      <x:c r="C22" s="44" t="n">
        <x:v>218021</x:v>
      </x:c>
      <x:c r="D22" s="44" t="n">
        <x:v>8430</x:v>
      </x:c>
      <x:c r="E22" s="44" t="n">
        <x:v>21804</x:v>
      </x:c>
      <x:c r="F22" s="44" t="n">
        <x:v>1920</x:v>
      </x:c>
      <x:c r="G22" s="44" t="n">
        <x:v>813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3" t="n">
        <x:v>45855</x:v>
      </x:c>
      <x:c r="B23" s="44" t="n">
        <x:f>IF(COUNT(C23:D23)=2,SUM(C23:D23),"")</x:f>
        <x:v>259284</x:v>
      </x:c>
      <x:c r="C23" s="44" t="n">
        <x:v>249242</x:v>
      </x:c>
      <x:c r="D23" s="44" t="n">
        <x:v>10042</x:v>
      </x:c>
      <x:c r="E23" s="44" t="n">
        <x:v>21804</x:v>
      </x:c>
      <x:c r="F23" s="44" t="n">
        <x:v>1920</x:v>
      </x:c>
      <x:c r="G23" s="44" t="n">
        <x:v>1037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43" t="n">
        <x:v>45856</x:v>
      </x:c>
      <x:c r="B24" s="44" t="n">
        <x:f>IF(COUNT(C24:D24)=2,SUM(C24:D24),"")</x:f>
        <x:v>246555</x:v>
      </x:c>
      <x:c r="C24" s="44" t="n">
        <x:v>237035</x:v>
      </x:c>
      <x:c r="D24" s="44" t="n">
        <x:v>9520</x:v>
      </x:c>
      <x:c r="E24" s="44" t="n">
        <x:v>21804</x:v>
      </x:c>
      <x:c r="F24" s="44" t="n">
        <x:v>1920</x:v>
      </x:c>
      <x:c r="G24" s="44" t="n">
        <x:v>989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43" t="n">
        <x:v>45857</x:v>
      </x:c>
      <x:c r="B25" s="44" t="n">
        <x:f>IF(COUNT(C25:D25)=2,SUM(C25:D25),"")</x:f>
        <x:v>132638</x:v>
      </x:c>
      <x:c r="C25" s="44" t="n">
        <x:v>127169</x:v>
      </x:c>
      <x:c r="D25" s="44" t="n">
        <x:v>5469</x:v>
      </x:c>
      <x:c r="E25" s="44" t="n">
        <x:v>21804</x:v>
      </x:c>
      <x:c r="F25" s="44" t="n">
        <x:v>1920</x:v>
      </x:c>
      <x:c r="G25" s="44" t="n">
        <x:v>646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43" t="n">
        <x:v>45858</x:v>
      </x:c>
      <x:c r="B26" s="44" t="n">
        <x:f>IF(COUNT(C26:D26)=2,SUM(C26:D26),"")</x:f>
        <x:v>161277</x:v>
      </x:c>
      <x:c r="C26" s="44" t="n">
        <x:v>154414</x:v>
      </x:c>
      <x:c r="D26" s="44" t="n">
        <x:v>6863</x:v>
      </x:c>
      <x:c r="E26" s="44" t="n">
        <x:v>21804</x:v>
      </x:c>
      <x:c r="F26" s="44" t="n">
        <x:v>1920</x:v>
      </x:c>
      <x:c r="G26" s="44" t="n">
        <x:v>902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43" t="n">
        <x:v>45859</x:v>
      </x:c>
      <x:c r="B27" s="44" t="n">
        <x:f>IF(COUNT(C27:D27)=2,SUM(C27:D27),"")</x:f>
        <x:v>137544</x:v>
      </x:c>
      <x:c r="C27" s="44" t="n">
        <x:v>132784</x:v>
      </x:c>
      <x:c r="D27" s="44" t="n">
        <x:v>4760</x:v>
      </x:c>
      <x:c r="E27" s="44" t="n">
        <x:v>21804</x:v>
      </x:c>
      <x:c r="F27" s="44" t="n">
        <x:v>1920</x:v>
      </x:c>
      <x:c r="G27" s="44" t="n">
        <x:v>449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43" t="n">
        <x:v>45860</x:v>
      </x:c>
      <x:c r="B28" s="44" t="n">
        <x:f>IF(COUNT(C28:D28)=2,SUM(C28:D28),"")</x:f>
        <x:v>262910</x:v>
      </x:c>
      <x:c r="C28" s="44" t="n">
        <x:v>253151</x:v>
      </x:c>
      <x:c r="D28" s="44" t="n">
        <x:v>9759</x:v>
      </x:c>
      <x:c r="E28" s="44" t="n">
        <x:v>21804</x:v>
      </x:c>
      <x:c r="F28" s="44" t="n">
        <x:v>1920</x:v>
      </x:c>
      <x:c r="G28" s="44" t="n">
        <x:v>1185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43" t="n">
        <x:v>45861</x:v>
      </x:c>
      <x:c r="B29" s="44" t="n">
        <x:f>IF(COUNT(C29:D29)=2,SUM(C29:D29),"")</x:f>
        <x:v>256678</x:v>
      </x:c>
      <x:c r="C29" s="44" t="n">
        <x:v>246705</x:v>
      </x:c>
      <x:c r="D29" s="44" t="n">
        <x:v>9973</x:v>
      </x:c>
      <x:c r="E29" s="44" t="n">
        <x:v>21804</x:v>
      </x:c>
      <x:c r="F29" s="44" t="n">
        <x:v>1920</x:v>
      </x:c>
      <x:c r="G29" s="44" t="n">
        <x:v>1060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43" t="n">
        <x:v>45862</x:v>
      </x:c>
      <x:c r="B30" s="44" t="n">
        <x:f>IF(COUNT(C30:D30)=2,SUM(C30:D30),"")</x:f>
        <x:v>195013</x:v>
      </x:c>
      <x:c r="C30" s="44" t="n">
        <x:v>187933</x:v>
      </x:c>
      <x:c r="D30" s="44" t="n">
        <x:v>7080</x:v>
      </x:c>
      <x:c r="E30" s="44" t="n">
        <x:v>21804</x:v>
      </x:c>
      <x:c r="F30" s="44" t="n">
        <x:v>1920</x:v>
      </x:c>
      <x:c r="G30" s="44" t="n">
        <x:v>835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43" t="n">
        <x:v>45863</x:v>
      </x:c>
      <x:c r="B31" s="44" t="n">
        <x:f>IF(COUNT(C31:D31)=2,SUM(C31:D31),"")</x:f>
        <x:v>95481</x:v>
      </x:c>
      <x:c r="C31" s="44" t="n">
        <x:v>92139</x:v>
      </x:c>
      <x:c r="D31" s="44" t="n">
        <x:v>3342</x:v>
      </x:c>
      <x:c r="E31" s="44" t="n">
        <x:v>21804</x:v>
      </x:c>
      <x:c r="F31" s="44" t="n">
        <x:v>1920</x:v>
      </x:c>
      <x:c r="G31" s="44" t="n">
        <x:v>442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43" t="n">
        <x:v>45864</x:v>
      </x:c>
      <x:c r="B32" s="44" t="n">
        <x:f>IF(COUNT(C32:D32)=2,SUM(C32:D32),"")</x:f>
        <x:v>227758</x:v>
      </x:c>
      <x:c r="C32" s="44" t="n">
        <x:v>218010</x:v>
      </x:c>
      <x:c r="D32" s="44" t="n">
        <x:v>9748</x:v>
      </x:c>
      <x:c r="E32" s="44" t="n">
        <x:v>21804</x:v>
      </x:c>
      <x:c r="F32" s="44" t="n">
        <x:v>1920</x:v>
      </x:c>
      <x:c r="G32" s="44" t="n">
        <x:v>1259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43" t="n">
        <x:v>45865</x:v>
      </x:c>
      <x:c r="B33" s="44" t="n">
        <x:f>IF(COUNT(C33:D33)=2,SUM(C33:D33),"")</x:f>
        <x:v>182672</x:v>
      </x:c>
      <x:c r="C33" s="44" t="n">
        <x:v>174631</x:v>
      </x:c>
      <x:c r="D33" s="44" t="n">
        <x:v>8041</x:v>
      </x:c>
      <x:c r="E33" s="44" t="n">
        <x:v>21804</x:v>
      </x:c>
      <x:c r="F33" s="44" t="n">
        <x:v>1920</x:v>
      </x:c>
      <x:c r="G33" s="44" t="n">
        <x:v>1232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43" t="n">
        <x:v>45866</x:v>
      </x:c>
      <x:c r="B34" s="44" t="n">
        <x:f>IF(COUNT(C34:D34)=2,SUM(C34:D34),"")</x:f>
        <x:v>232812</x:v>
      </x:c>
      <x:c r="C34" s="44" t="n">
        <x:v>224091</x:v>
      </x:c>
      <x:c r="D34" s="44" t="n">
        <x:v>8721</x:v>
      </x:c>
      <x:c r="E34" s="44" t="n">
        <x:v>21804</x:v>
      </x:c>
      <x:c r="F34" s="44" t="n">
        <x:v>1920</x:v>
      </x:c>
      <x:c r="G34" s="44" t="n">
        <x:v>1206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43" t="n">
        <x:v>45867</x:v>
      </x:c>
      <x:c r="B35" s="44" t="n">
        <x:f>IF(COUNT(C35:D35)=2,SUM(C35:D35),"")</x:f>
        <x:v>213012</x:v>
      </x:c>
      <x:c r="C35" s="44" t="n">
        <x:v>205145</x:v>
      </x:c>
      <x:c r="D35" s="44" t="n">
        <x:v>7867</x:v>
      </x:c>
      <x:c r="E35" s="44" t="n">
        <x:v>21804</x:v>
      </x:c>
      <x:c r="F35" s="44" t="n">
        <x:v>1920</x:v>
      </x:c>
      <x:c r="G35" s="44" t="n">
        <x:v>1024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43" t="n">
        <x:v>45868</x:v>
      </x:c>
      <x:c r="B36" s="44" t="n">
        <x:f>IF(COUNT(C36:D36)=2,SUM(C36:D36),"")</x:f>
        <x:v>267499</x:v>
      </x:c>
      <x:c r="C36" s="44" t="n">
        <x:v>256593</x:v>
      </x:c>
      <x:c r="D36" s="44" t="n">
        <x:v>10906</x:v>
      </x:c>
      <x:c r="E36" s="44" t="n">
        <x:v>21804</x:v>
      </x:c>
      <x:c r="F36" s="44" t="n">
        <x:v>1920</x:v>
      </x:c>
      <x:c r="G36" s="44" t="n">
        <x:v>1574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43" t="n">
        <x:v>45869</x:v>
      </x:c>
      <x:c r="B37" s="44" t="n">
        <x:f>IF(COUNT(C37:D37)=2,SUM(C37:D37),"")</x:f>
        <x:v>268065</x:v>
      </x:c>
      <x:c r="C37" s="44" t="n">
        <x:v>256970</x:v>
      </x:c>
      <x:c r="D37" s="44" t="n">
        <x:v>11095</x:v>
      </x:c>
      <x:c r="E37" s="44" t="n">
        <x:v>21804</x:v>
      </x:c>
      <x:c r="F37" s="44" t="n">
        <x:v>1920</x:v>
      </x:c>
      <x:c r="G37" s="44" t="n">
        <x:v>1903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43" t="n">
        <x:v>45870</x:v>
      </x:c>
      <x:c r="B38" s="44" t="n">
        <x:f>IF(COUNT(C38:D38)=2,SUM(C38:D38),"")</x:f>
        <x:v>200669</x:v>
      </x:c>
      <x:c r="C38" s="44" t="n">
        <x:v>192787</x:v>
      </x:c>
      <x:c r="D38" s="44" t="n">
        <x:v>7882</x:v>
      </x:c>
      <x:c r="E38" s="44" t="n">
        <x:v>21804</x:v>
      </x:c>
      <x:c r="F38" s="44" t="n">
        <x:v>1920</x:v>
      </x:c>
      <x:c r="G38" s="44" t="n">
        <x:v>876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43" t="n">
        <x:v>45871</x:v>
      </x:c>
      <x:c r="B39" s="44" t="n">
        <x:f>IF(COUNT(C39:D39)=2,SUM(C39:D39),"")</x:f>
        <x:v>199988</x:v>
      </x:c>
      <x:c r="C39" s="44" t="n">
        <x:v>191331</x:v>
      </x:c>
      <x:c r="D39" s="44" t="n">
        <x:v>8657</x:v>
      </x:c>
      <x:c r="E39" s="44" t="n">
        <x:v>21804</x:v>
      </x:c>
      <x:c r="F39" s="44" t="n">
        <x:v>1920</x:v>
      </x:c>
      <x:c r="G39" s="44" t="n">
        <x:v>934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43" t="n">
        <x:v>45872</x:v>
      </x:c>
      <x:c r="B40" s="44" t="n">
        <x:f>IF(COUNT(C40:D40)=2,SUM(C40:D40),"")</x:f>
        <x:v>200146</x:v>
      </x:c>
      <x:c r="C40" s="44" t="n">
        <x:v>191523</x:v>
      </x:c>
      <x:c r="D40" s="44" t="n">
        <x:v>8623</x:v>
      </x:c>
      <x:c r="E40" s="44" t="n">
        <x:v>21860</x:v>
      </x:c>
      <x:c r="F40" s="44" t="n">
        <x:v>2000</x:v>
      </x:c>
      <x:c r="G40" s="44" t="n">
        <x:v>949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43" t="n">
        <x:v>45873</x:v>
      </x:c>
      <x:c r="B41" s="44" t="n">
        <x:f>IF(COUNT(C41:D41)=2,SUM(C41:D41),"")</x:f>
        <x:v>234099</x:v>
      </x:c>
      <x:c r="C41" s="44" t="n">
        <x:v>225105</x:v>
      </x:c>
      <x:c r="D41" s="44" t="n">
        <x:v>8994</x:v>
      </x:c>
      <x:c r="E41" s="44" t="n">
        <x:v>21860</x:v>
      </x:c>
      <x:c r="F41" s="44" t="n">
        <x:v>2000</x:v>
      </x:c>
      <x:c r="G41" s="44" t="n">
        <x:v>928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43" t="n">
        <x:v>45874</x:v>
      </x:c>
      <x:c r="B42" s="44" t="n">
        <x:f>IF(COUNT(C42:D42)=2,SUM(C42:D42),"")</x:f>
        <x:v>202990</x:v>
      </x:c>
      <x:c r="C42" s="44" t="n">
        <x:v>195217</x:v>
      </x:c>
      <x:c r="D42" s="44" t="n">
        <x:v>7773</x:v>
      </x:c>
      <x:c r="E42" s="44" t="n">
        <x:v>21860</x:v>
      </x:c>
      <x:c r="F42" s="44" t="n">
        <x:v>2000</x:v>
      </x:c>
      <x:c r="G42" s="44" t="n">
        <x:v>748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43" t="n">
        <x:v>45875</x:v>
      </x:c>
      <x:c r="B43" s="44" t="n">
        <x:f>IF(COUNT(C43:D43)=2,SUM(C43:D43),"")</x:f>
        <x:v>269001</x:v>
      </x:c>
      <x:c r="C43" s="44" t="n">
        <x:v>258073</x:v>
      </x:c>
      <x:c r="D43" s="44" t="n">
        <x:v>10928</x:v>
      </x:c>
      <x:c r="E43" s="44" t="n">
        <x:v>21860</x:v>
      </x:c>
      <x:c r="F43" s="44" t="n">
        <x:v>2000</x:v>
      </x:c>
      <x:c r="G43" s="44" t="n">
        <x:v>1055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43" t="n">
        <x:v>45876</x:v>
      </x:c>
      <x:c r="B44" s="44" t="n">
        <x:f>IF(COUNT(C44:D44)=2,SUM(C44:D44),"")</x:f>
        <x:v>273439</x:v>
      </x:c>
      <x:c r="C44" s="44" t="n">
        <x:v>262384</x:v>
      </x:c>
      <x:c r="D44" s="44" t="n">
        <x:v>11055</x:v>
      </x:c>
      <x:c r="E44" s="44" t="n">
        <x:v>21860</x:v>
      </x:c>
      <x:c r="F44" s="44" t="n">
        <x:v>2000</x:v>
      </x:c>
      <x:c r="G44" s="44" t="n">
        <x:v>1076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43" t="n">
        <x:v>45877</x:v>
      </x:c>
      <x:c r="B45" s="44" t="n">
        <x:f>IF(COUNT(C45:D45)=2,SUM(C45:D45),"")</x:f>
        <x:v>273337</x:v>
      </x:c>
      <x:c r="C45" s="44" t="n">
        <x:v>261599</x:v>
      </x:c>
      <x:c r="D45" s="44" t="n">
        <x:v>11738</x:v>
      </x:c>
      <x:c r="E45" s="44" t="n">
        <x:v>21860</x:v>
      </x:c>
      <x:c r="F45" s="44" t="n">
        <x:v>2000</x:v>
      </x:c>
      <x:c r="G45" s="44" t="n">
        <x:v>1198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43" t="n">
        <x:v>45878</x:v>
      </x:c>
      <x:c r="B46" s="44" t="n">
        <x:f>IF(COUNT(C46:D46)=2,SUM(C46:D46),"")</x:f>
        <x:v>216134</x:v>
      </x:c>
      <x:c r="C46" s="44" t="n">
        <x:v>206169</x:v>
      </x:c>
      <x:c r="D46" s="44" t="n">
        <x:v>9965</x:v>
      </x:c>
      <x:c r="E46" s="44" t="n">
        <x:v>21860</x:v>
      </x:c>
      <x:c r="F46" s="44" t="n">
        <x:v>2000</x:v>
      </x:c>
      <x:c r="G46" s="44" t="n">
        <x:v>1095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43" t="n">
        <x:v>45879</x:v>
      </x:c>
      <x:c r="B47" s="44" t="n">
        <x:f>IF(COUNT(C47:D47)=2,SUM(C47:D47),"")</x:f>
        <x:v>181837</x:v>
      </x:c>
      <x:c r="C47" s="44" t="n">
        <x:v>173929</x:v>
      </x:c>
      <x:c r="D47" s="44" t="n">
        <x:v>7908</x:v>
      </x:c>
      <x:c r="E47" s="44" t="n">
        <x:v>21860</x:v>
      </x:c>
      <x:c r="F47" s="44" t="n">
        <x:v>2000</x:v>
      </x:c>
      <x:c r="G47" s="44" t="n">
        <x:v>912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43" t="n">
        <x:v>45880</x:v>
      </x:c>
      <x:c r="B48" s="44" t="n">
        <x:f>IF(COUNT(C48:D48)=2,SUM(C48:D48),"")</x:f>
        <x:v>212494</x:v>
      </x:c>
      <x:c r="C48" s="44" t="n">
        <x:v>204670</x:v>
      </x:c>
      <x:c r="D48" s="44" t="n">
        <x:v>7824</x:v>
      </x:c>
      <x:c r="E48" s="44" t="n">
        <x:v>21860</x:v>
      </x:c>
      <x:c r="F48" s="44" t="n">
        <x:v>2000</x:v>
      </x:c>
      <x:c r="G48" s="44" t="n">
        <x:v>792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43" t="n">
        <x:v>45881</x:v>
      </x:c>
      <x:c r="B49" s="44" t="n">
        <x:f>IF(COUNT(C49:D49)=2,SUM(C49:D49),"")</x:f>
        <x:v>270413</x:v>
      </x:c>
      <x:c r="C49" s="44" t="n">
        <x:v>259839</x:v>
      </x:c>
      <x:c r="D49" s="44" t="n">
        <x:v>10574</x:v>
      </x:c>
      <x:c r="E49" s="44" t="n">
        <x:v>21860</x:v>
      </x:c>
      <x:c r="F49" s="44" t="n">
        <x:v>2000</x:v>
      </x:c>
      <x:c r="G49" s="44" t="n">
        <x:v>1051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43" t="n">
        <x:v>45882</x:v>
      </x:c>
      <x:c r="B50" s="44" t="n">
        <x:f>IF(COUNT(C50:D50)=2,SUM(C50:D50),"")</x:f>
        <x:v>200735</x:v>
      </x:c>
      <x:c r="C50" s="44" t="n">
        <x:v>193026</x:v>
      </x:c>
      <x:c r="D50" s="44" t="n">
        <x:v>7709</x:v>
      </x:c>
      <x:c r="E50" s="44" t="n">
        <x:v>21860</x:v>
      </x:c>
      <x:c r="F50" s="44" t="n">
        <x:v>2000</x:v>
      </x:c>
      <x:c r="G50" s="44" t="n">
        <x:v>739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43" t="n">
        <x:v>45883</x:v>
      </x:c>
      <x:c r="B51" s="44" t="n">
        <x:f>IF(COUNT(C51:D51)=2,SUM(C51:D51),"")</x:f>
        <x:v>270105</x:v>
      </x:c>
      <x:c r="C51" s="44" t="n">
        <x:v>259190</x:v>
      </x:c>
      <x:c r="D51" s="44" t="n">
        <x:v>10915</x:v>
      </x:c>
      <x:c r="E51" s="44" t="n">
        <x:v>21860</x:v>
      </x:c>
      <x:c r="F51" s="44" t="n">
        <x:v>2000</x:v>
      </x:c>
      <x:c r="G51" s="44" t="n">
        <x:v>1063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43" t="n">
        <x:v>45884</x:v>
      </x:c>
      <x:c r="B52" s="44" t="n">
        <x:f>IF(COUNT(C52:D52)=2,SUM(C52:D52),"")</x:f>
        <x:v>277277</x:v>
      </x:c>
      <x:c r="C52" s="44" t="n">
        <x:v>265698</x:v>
      </x:c>
      <x:c r="D52" s="44" t="n">
        <x:v>11579</x:v>
      </x:c>
      <x:c r="E52" s="44" t="n">
        <x:v>21860</x:v>
      </x:c>
      <x:c r="F52" s="44" t="n">
        <x:v>2000</x:v>
      </x:c>
      <x:c r="G52" s="44" t="n">
        <x:v>1159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43" t="n">
        <x:v>45885</x:v>
      </x:c>
      <x:c r="B53" s="44" t="n">
        <x:f>IF(COUNT(C53:D53)=2,SUM(C53:D53),"")</x:f>
        <x:v>226312</x:v>
      </x:c>
      <x:c r="C53" s="44" t="n">
        <x:v>215599</x:v>
      </x:c>
      <x:c r="D53" s="44" t="n">
        <x:v>10713</x:v>
      </x:c>
      <x:c r="E53" s="44" t="n">
        <x:v>21860</x:v>
      </x:c>
      <x:c r="F53" s="44" t="n">
        <x:v>2000</x:v>
      </x:c>
      <x:c r="G53" s="44" t="n">
        <x:v>1137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43" t="n">
        <x:v>45886</x:v>
      </x:c>
      <x:c r="B54" s="44" t="n">
        <x:f>IF(COUNT(C54:D54)=2,SUM(C54:D54),"")</x:f>
        <x:v>204458</x:v>
      </x:c>
      <x:c r="C54" s="44" t="n">
        <x:v>195206</x:v>
      </x:c>
      <x:c r="D54" s="44" t="n">
        <x:v>9252</x:v>
      </x:c>
      <x:c r="E54" s="44" t="n">
        <x:v>21860</x:v>
      </x:c>
      <x:c r="F54" s="44" t="n">
        <x:v>2000</x:v>
      </x:c>
      <x:c r="G54" s="44" t="n">
        <x:v>1043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43" t="n">
        <x:v>45887</x:v>
      </x:c>
      <x:c r="B55" s="44" t="n">
        <x:f>IF(COUNT(C55:D55)=2,SUM(C55:D55),"")</x:f>
        <x:v>243774</x:v>
      </x:c>
      <x:c r="C55" s="44" t="n">
        <x:v>234405</x:v>
      </x:c>
      <x:c r="D55" s="44" t="n">
        <x:v>9369</x:v>
      </x:c>
      <x:c r="E55" s="44" t="n">
        <x:v>21860</x:v>
      </x:c>
      <x:c r="F55" s="44" t="n">
        <x:v>2000</x:v>
      </x:c>
      <x:c r="G55" s="44" t="n">
        <x:v>978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43" t="n">
        <x:v>45888</x:v>
      </x:c>
      <x:c r="B56" s="44" t="n">
        <x:f>IF(COUNT(C56:D56)=2,SUM(C56:D56),"")</x:f>
        <x:v>268612</x:v>
      </x:c>
      <x:c r="C56" s="44" t="n">
        <x:v>257922</x:v>
      </x:c>
      <x:c r="D56" s="44" t="n">
        <x:v>10690</x:v>
      </x:c>
      <x:c r="E56" s="44" t="n">
        <x:v>21860</x:v>
      </x:c>
      <x:c r="F56" s="44" t="n">
        <x:v>2000</x:v>
      </x:c>
      <x:c r="G56" s="44" t="n">
        <x:v>1123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43" t="n">
        <x:v>45889</x:v>
      </x:c>
      <x:c r="B57" s="44" t="n">
        <x:f>IF(COUNT(C57:D57)=2,SUM(C57:D57),"")</x:f>
        <x:v>242724</x:v>
      </x:c>
      <x:c r="C57" s="44" t="n">
        <x:v>233538</x:v>
      </x:c>
      <x:c r="D57" s="44" t="n">
        <x:v>9186</x:v>
      </x:c>
      <x:c r="E57" s="44" t="n">
        <x:v>21860</x:v>
      </x:c>
      <x:c r="F57" s="44" t="n">
        <x:v>2000</x:v>
      </x:c>
      <x:c r="G57" s="44" t="n">
        <x:v>952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43" t="n">
        <x:v>45890</x:v>
      </x:c>
      <x:c r="B58" s="44" t="n">
        <x:f>IF(COUNT(C58:D58)=2,SUM(C58:D58),"")</x:f>
        <x:v>262297</x:v>
      </x:c>
      <x:c r="C58" s="44" t="n">
        <x:v>252259</x:v>
      </x:c>
      <x:c r="D58" s="44" t="n">
        <x:v>10038</x:v>
      </x:c>
      <x:c r="E58" s="44" t="n">
        <x:v>21860</x:v>
      </x:c>
      <x:c r="F58" s="44" t="n">
        <x:v>2000</x:v>
      </x:c>
      <x:c r="G58" s="44" t="n">
        <x:v>1067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43" t="n">
        <x:v>45891</x:v>
      </x:c>
      <x:c r="B59" s="44" t="n">
        <x:f>IF(COUNT(C59:D59)=2,SUM(C59:D59),"")</x:f>
        <x:v>271960</x:v>
      </x:c>
      <x:c r="C59" s="44" t="n">
        <x:v>260899</x:v>
      </x:c>
      <x:c r="D59" s="44" t="n">
        <x:v>11061</x:v>
      </x:c>
      <x:c r="E59" s="44" t="n">
        <x:v>21860</x:v>
      </x:c>
      <x:c r="F59" s="44" t="n">
        <x:v>2000</x:v>
      </x:c>
      <x:c r="G59" s="44" t="n">
        <x:v>1204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43" t="n">
        <x:v>45892</x:v>
      </x:c>
      <x:c r="B60" s="44" t="n">
        <x:f>IF(COUNT(C60:D60)=2,SUM(C60:D60),"")</x:f>
        <x:v>225325</x:v>
      </x:c>
      <x:c r="C60" s="44" t="n">
        <x:v>215339</x:v>
      </x:c>
      <x:c r="D60" s="44" t="n">
        <x:v>9986</x:v>
      </x:c>
      <x:c r="E60" s="44" t="n">
        <x:v>21860</x:v>
      </x:c>
      <x:c r="F60" s="44" t="n">
        <x:v>2000</x:v>
      </x:c>
      <x:c r="G60" s="44" t="n">
        <x:v>1219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43" t="n">
        <x:v>45893</x:v>
      </x:c>
      <x:c r="B61" s="44" t="n">
        <x:f>IF(COUNT(C61:D61)=2,SUM(C61:D61),"")</x:f>
        <x:v>200015</x:v>
      </x:c>
      <x:c r="C61" s="44" t="n">
        <x:v>191169</x:v>
      </x:c>
      <x:c r="D61" s="44" t="n">
        <x:v>8846</x:v>
      </x:c>
      <x:c r="E61" s="44" t="n">
        <x:v>21860</x:v>
      </x:c>
      <x:c r="F61" s="44" t="n">
        <x:v>2000</x:v>
      </x:c>
      <x:c r="G61" s="44" t="n">
        <x:v>1063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43" t="n">
        <x:v>45894</x:v>
      </x:c>
      <x:c r="B62" s="44" t="n">
        <x:f>IF(COUNT(C62:D62)=2,SUM(C62:D62),"")</x:f>
        <x:v>256019</x:v>
      </x:c>
      <x:c r="C62" s="44" t="n">
        <x:v>246140</x:v>
      </x:c>
      <x:c r="D62" s="44" t="n">
        <x:v>9879</x:v>
      </x:c>
      <x:c r="E62" s="44" t="n">
        <x:v>21860</x:v>
      </x:c>
      <x:c r="F62" s="44" t="n">
        <x:v>2000</x:v>
      </x:c>
      <x:c r="G62" s="44" t="n">
        <x:v>1055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43" t="n">
        <x:v>45895</x:v>
      </x:c>
      <x:c r="B63" s="44" t="n">
        <x:f>IF(COUNT(C63:D63)=2,SUM(C63:D63),"")</x:f>
        <x:v>267779</x:v>
      </x:c>
      <x:c r="C63" s="44" t="n">
        <x:v>257229</x:v>
      </x:c>
      <x:c r="D63" s="44" t="n">
        <x:v>10550</x:v>
      </x:c>
      <x:c r="E63" s="44" t="n">
        <x:v>21860</x:v>
      </x:c>
      <x:c r="F63" s="44" t="n">
        <x:v>2000</x:v>
      </x:c>
      <x:c r="G63" s="44" t="n">
        <x:v>1236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43" t="n">
        <x:v>45896</x:v>
      </x:c>
      <x:c r="B64" s="44" t="n">
        <x:f>IF(COUNT(C64:D64)=2,SUM(C64:D64),"")</x:f>
        <x:v>278454</x:v>
      </x:c>
      <x:c r="C64" s="44" t="n">
        <x:v>267105</x:v>
      </x:c>
      <x:c r="D64" s="44" t="n">
        <x:v>11349</x:v>
      </x:c>
      <x:c r="E64" s="44" t="n">
        <x:v>21860</x:v>
      </x:c>
      <x:c r="F64" s="44" t="n">
        <x:v>2000</x:v>
      </x:c>
      <x:c r="G64" s="44" t="n">
        <x:v>1347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43" t="n">
        <x:v>45897</x:v>
      </x:c>
      <x:c r="B65" s="44" t="n">
        <x:f>IF(COUNT(C65:D65)=2,SUM(C65:D65),"")</x:f>
        <x:v>271616</x:v>
      </x:c>
      <x:c r="C65" s="44" t="n">
        <x:v>260498</x:v>
      </x:c>
      <x:c r="D65" s="44" t="n">
        <x:v>11118</x:v>
      </x:c>
      <x:c r="E65" s="44" t="n">
        <x:v>21860</x:v>
      </x:c>
      <x:c r="F65" s="44" t="n">
        <x:v>2000</x:v>
      </x:c>
      <x:c r="G65" s="44" t="n">
        <x:v>1286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43" t="n">
        <x:v>45898</x:v>
      </x:c>
      <x:c r="B66" s="44" t="n">
        <x:f>IF(COUNT(C66:D66)=2,SUM(C66:D66),"")</x:f>
        <x:v>275971</x:v>
      </x:c>
      <x:c r="C66" s="44" t="n">
        <x:v>264111</x:v>
      </x:c>
      <x:c r="D66" s="44" t="n">
        <x:v>11860</x:v>
      </x:c>
      <x:c r="E66" s="44" t="n">
        <x:v>21860</x:v>
      </x:c>
      <x:c r="F66" s="44" t="n">
        <x:v>2000</x:v>
      </x:c>
      <x:c r="G66" s="44" t="n">
        <x:v>1480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43" t="n">
        <x:v>45899</x:v>
      </x:c>
      <x:c r="B67" s="44" t="n">
        <x:f>IF(COUNT(C67:D67)=2,SUM(C67:D67),"")</x:f>
        <x:v>234711</x:v>
      </x:c>
      <x:c r="C67" s="44" t="n">
        <x:v>223556</x:v>
      </x:c>
      <x:c r="D67" s="44" t="n">
        <x:v>11155</x:v>
      </x:c>
      <x:c r="E67" s="44" t="n">
        <x:v>21860</x:v>
      </x:c>
      <x:c r="F67" s="44" t="n">
        <x:v>2000</x:v>
      </x:c>
      <x:c r="G67" s="44" t="n">
        <x:v>1473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43" t="n">
        <x:v>45900</x:v>
      </x:c>
      <x:c r="B68" s="44" t="n">
        <x:f>IF(COUNT(C68:D68)=2,SUM(C68:D68),"")</x:f>
        <x:v>217353</x:v>
      </x:c>
      <x:c r="C68" s="44" t="n">
        <x:v>207126</x:v>
      </x:c>
      <x:c r="D68" s="44" t="n">
        <x:v>10227</x:v>
      </x:c>
      <x:c r="E68" s="44" t="n">
        <x:v>21860</x:v>
      </x:c>
      <x:c r="F68" s="44" t="n">
        <x:v>2000</x:v>
      </x:c>
      <x:c r="G68" s="44" t="n">
        <x:v>1700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43" t="n">
        <x:v>45901</x:v>
      </x:c>
      <x:c r="B69" s="44" t="n">
        <x:f>IF(COUNT(C69:D69)=2,SUM(C69:D69),"")</x:f>
        <x:v>254571</x:v>
      </x:c>
      <x:c r="C69" s="44" t="n">
        <x:v>244704</x:v>
      </x:c>
      <x:c r="D69" s="44" t="n">
        <x:v>9867</x:v>
      </x:c>
      <x:c r="E69" s="44" t="n">
        <x:v>22000</x:v>
      </x:c>
      <x:c r="F69" s="44" t="n">
        <x:v>2200</x:v>
      </x:c>
      <x:c r="G69" s="44" t="n">
        <x:v>1007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43" t="n">
        <x:v>45902</x:v>
      </x:c>
      <x:c r="B70" s="44" t="n">
        <x:f>IF(COUNT(C70:D70)=2,SUM(C70:D70),"")</x:f>
        <x:v>239362</x:v>
      </x:c>
      <x:c r="C70" s="44" t="n">
        <x:v>229317</x:v>
      </x:c>
      <x:c r="D70" s="44" t="n">
        <x:v>10045</x:v>
      </x:c>
      <x:c r="E70" s="44" t="n">
        <x:v>22000</x:v>
      </x:c>
      <x:c r="F70" s="44" t="n">
        <x:v>2200</x:v>
      </x:c>
      <x:c r="G70" s="44" t="n">
        <x:v>1001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43" t="n">
        <x:v>45903</x:v>
      </x:c>
      <x:c r="B71" s="44" t="n">
        <x:f>IF(COUNT(C71:D71)=2,SUM(C71:D71),"")</x:f>
        <x:v>287233</x:v>
      </x:c>
      <x:c r="C71" s="44" t="n">
        <x:v>274162</x:v>
      </x:c>
      <x:c r="D71" s="44" t="n">
        <x:v>13071</x:v>
      </x:c>
      <x:c r="E71" s="44" t="n">
        <x:v>22000</x:v>
      </x:c>
      <x:c r="F71" s="44" t="n">
        <x:v>2200</x:v>
      </x:c>
      <x:c r="G71" s="44" t="n">
        <x:v>1151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43" t="n">
        <x:v>45904</x:v>
      </x:c>
      <x:c r="B72" s="44" t="n">
        <x:f>IF(COUNT(C72:D72)=2,SUM(C72:D72),"")</x:f>
        <x:v>264583</x:v>
      </x:c>
      <x:c r="C72" s="44" t="n">
        <x:v>252430</x:v>
      </x:c>
      <x:c r="D72" s="44" t="n">
        <x:v>12153</x:v>
      </x:c>
      <x:c r="E72" s="44" t="n">
        <x:v>22000</x:v>
      </x:c>
      <x:c r="F72" s="44" t="n">
        <x:v>2200</x:v>
      </x:c>
      <x:c r="G72" s="44" t="n">
        <x:v>1097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43" t="n">
        <x:v>45905</x:v>
      </x:c>
      <x:c r="B73" s="44" t="n">
        <x:f>IF(COUNT(C73:D73)=2,SUM(C73:D73),"")</x:f>
        <x:v>292001</x:v>
      </x:c>
      <x:c r="C73" s="44" t="n">
        <x:v>278185</x:v>
      </x:c>
      <x:c r="D73" s="44" t="n">
        <x:v>13816</x:v>
      </x:c>
      <x:c r="E73" s="44" t="n">
        <x:v>22000</x:v>
      </x:c>
      <x:c r="F73" s="44" t="n">
        <x:v>2200</x:v>
      </x:c>
      <x:c r="G73" s="44" t="n">
        <x:v>1262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43" t="n">
        <x:v>45906</x:v>
      </x:c>
      <x:c r="B74" s="44" t="n">
        <x:f>IF(COUNT(C74:D74)=2,SUM(C74:D74),"")</x:f>
        <x:v>235021</x:v>
      </x:c>
      <x:c r="C74" s="44" t="n">
        <x:v>223102</x:v>
      </x:c>
      <x:c r="D74" s="44" t="n">
        <x:v>11919</x:v>
      </x:c>
      <x:c r="E74" s="44" t="n">
        <x:v>22000</x:v>
      </x:c>
      <x:c r="F74" s="44" t="n">
        <x:v>2200</x:v>
      </x:c>
      <x:c r="G74" s="44" t="n">
        <x:v>1109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43" t="n">
        <x:v>45907</x:v>
      </x:c>
      <x:c r="B75" s="44" t="n">
        <x:f>IF(COUNT(C75:D75)=2,SUM(C75:D75),"")</x:f>
        <x:v>156431</x:v>
      </x:c>
      <x:c r="C75" s="44" t="n">
        <x:v>148947</x:v>
      </x:c>
      <x:c r="D75" s="44" t="n">
        <x:v>7484</x:v>
      </x:c>
      <x:c r="E75" s="44" t="n">
        <x:v>22000</x:v>
      </x:c>
      <x:c r="F75" s="44" t="n">
        <x:v>2200</x:v>
      </x:c>
      <x:c r="G75" s="44" t="n">
        <x:v>794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43" t="n">
        <x:v>45908</x:v>
      </x:c>
      <x:c r="B76" s="44" t="n">
        <x:f>IF(COUNT(C76:D76)=2,SUM(C76:D76),"")</x:f>
        <x:v>281082</x:v>
      </x:c>
      <x:c r="C76" s="44" t="n">
        <x:v>267909</x:v>
      </x:c>
      <x:c r="D76" s="44" t="n">
        <x:v>13173</x:v>
      </x:c>
      <x:c r="E76" s="44" t="n">
        <x:v>22000</x:v>
      </x:c>
      <x:c r="F76" s="44" t="n">
        <x:v>2200</x:v>
      </x:c>
      <x:c r="G76" s="44" t="n">
        <x:v>1205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43" t="n">
        <x:v>45909</x:v>
      </x:c>
      <x:c r="B77" s="44" t="n">
        <x:f>IF(COUNT(C77:D77)=2,SUM(C77:D77),"")</x:f>
        <x:v>273215</x:v>
      </x:c>
      <x:c r="C77" s="44" t="n">
        <x:v>259328</x:v>
      </x:c>
      <x:c r="D77" s="44" t="n">
        <x:v>13887</x:v>
      </x:c>
      <x:c r="E77" s="44" t="n">
        <x:v>22000</x:v>
      </x:c>
      <x:c r="F77" s="44" t="n">
        <x:v>2200</x:v>
      </x:c>
      <x:c r="G77" s="44" t="n">
        <x:v>1308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43" t="n">
        <x:v>45910</x:v>
      </x:c>
      <x:c r="B78" s="44" t="n">
        <x:f>IF(COUNT(C78:D78)=2,SUM(C78:D78),"")</x:f>
        <x:v>292600</x:v>
      </x:c>
      <x:c r="C78" s="44" t="n">
        <x:v>277490</x:v>
      </x:c>
      <x:c r="D78" s="44" t="n">
        <x:v>15110</x:v>
      </x:c>
      <x:c r="E78" s="44" t="n">
        <x:v>22000</x:v>
      </x:c>
      <x:c r="F78" s="44" t="n">
        <x:v>2200</x:v>
      </x:c>
      <x:c r="G78" s="44" t="n">
        <x:v>1373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43" t="n">
        <x:v>45911</x:v>
      </x:c>
      <x:c r="B79" s="44" t="n">
        <x:f>IF(COUNT(C79:D79)=2,SUM(C79:D79),"")</x:f>
        <x:v>289765</x:v>
      </x:c>
      <x:c r="C79" s="44" t="n">
        <x:v>274290</x:v>
      </x:c>
      <x:c r="D79" s="44" t="n">
        <x:v>15475</x:v>
      </x:c>
      <x:c r="E79" s="44" t="n">
        <x:v>22000</x:v>
      </x:c>
      <x:c r="F79" s="44" t="n">
        <x:v>2200</x:v>
      </x:c>
      <x:c r="G79" s="44" t="n">
        <x:v>1406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43" t="n">
        <x:v>45912</x:v>
      </x:c>
      <x:c r="B80" s="44" t="n">
        <x:f>IF(COUNT(C80:D80)=2,SUM(C80:D80),"")</x:f>
        <x:v>293057</x:v>
      </x:c>
      <x:c r="C80" s="44" t="n">
        <x:v>277141</x:v>
      </x:c>
      <x:c r="D80" s="44" t="n">
        <x:v>15916</x:v>
      </x:c>
      <x:c r="E80" s="44" t="n">
        <x:v>22000</x:v>
      </x:c>
      <x:c r="F80" s="44" t="n">
        <x:v>2200</x:v>
      </x:c>
      <x:c r="G80" s="44" t="n">
        <x:v>1426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43" t="n">
        <x:v>45913</x:v>
      </x:c>
      <x:c r="B81" s="44" t="n">
        <x:f>IF(COUNT(C81:D81)=2,SUM(C81:D81),"")</x:f>
        <x:v>250674</x:v>
      </x:c>
      <x:c r="C81" s="44" t="n">
        <x:v>236369</x:v>
      </x:c>
      <x:c r="D81" s="44" t="n">
        <x:v>14305</x:v>
      </x:c>
      <x:c r="E81" s="44" t="n">
        <x:v>22000</x:v>
      </x:c>
      <x:c r="F81" s="44" t="n">
        <x:v>2200</x:v>
      </x:c>
      <x:c r="G81" s="44" t="n">
        <x:v>1269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43" t="n">
        <x:v>45914</x:v>
      </x:c>
      <x:c r="B82" s="44" t="n">
        <x:f>IF(COUNT(C82:D82)=2,SUM(C82:D82),"")</x:f>
        <x:v>220017</x:v>
      </x:c>
      <x:c r="C82" s="44" t="n">
        <x:v>208193</x:v>
      </x:c>
      <x:c r="D82" s="44" t="n">
        <x:v>11824</x:v>
      </x:c>
      <x:c r="E82" s="44" t="n">
        <x:v>22000</x:v>
      </x:c>
      <x:c r="F82" s="44" t="n">
        <x:v>2200</x:v>
      </x:c>
      <x:c r="G82" s="44" t="n">
        <x:v>1183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43" t="n">
        <x:v>45915</x:v>
      </x:c>
      <x:c r="B83" s="44" t="n">
        <x:f>IF(COUNT(C83:D83)=2,SUM(C83:D83),"")</x:f>
        <x:v>275894</x:v>
      </x:c>
      <x:c r="C83" s="44" t="n">
        <x:v>262282</x:v>
      </x:c>
      <x:c r="D83" s="44" t="n">
        <x:v>13612</x:v>
      </x:c>
      <x:c r="E83" s="44" t="n">
        <x:v>22000</x:v>
      </x:c>
      <x:c r="F83" s="44" t="n">
        <x:v>2200</x:v>
      </x:c>
      <x:c r="G83" s="44" t="n">
        <x:v>1251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43" t="n">
        <x:v>45916</x:v>
      </x:c>
      <x:c r="B84" s="44" t="n">
        <x:f>IF(COUNT(C84:D84)=2,SUM(C84:D84),"")</x:f>
        <x:v>287329</x:v>
      </x:c>
      <x:c r="C84" s="44" t="n">
        <x:v>272696</x:v>
      </x:c>
      <x:c r="D84" s="44" t="n">
        <x:v>14633</x:v>
      </x:c>
      <x:c r="E84" s="44" t="n">
        <x:v>22000</x:v>
      </x:c>
      <x:c r="F84" s="44" t="n">
        <x:v>2200</x:v>
      </x:c>
      <x:c r="G84" s="44" t="n">
        <x:v>1428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43" t="n">
        <x:v>45917</x:v>
      </x:c>
      <x:c r="B85" s="44" t="n">
        <x:f>IF(COUNT(C85:D85)=2,SUM(C85:D85),"")</x:f>
        <x:v>287034</x:v>
      </x:c>
      <x:c r="C85" s="44" t="n">
        <x:v>273016</x:v>
      </x:c>
      <x:c r="D85" s="44" t="n">
        <x:v>14018</x:v>
      </x:c>
      <x:c r="E85" s="44" t="n">
        <x:v>22000</x:v>
      </x:c>
      <x:c r="F85" s="44" t="n">
        <x:v>2200</x:v>
      </x:c>
      <x:c r="G85" s="44" t="n">
        <x:v>1290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43" t="n">
        <x:v>45918</x:v>
      </x:c>
      <x:c r="B86" s="44" t="n">
        <x:f>IF(COUNT(C86:D86)=2,SUM(C86:D86),"")</x:f>
        <x:v>285653</x:v>
      </x:c>
      <x:c r="C86" s="44" t="n">
        <x:v>271205</x:v>
      </x:c>
      <x:c r="D86" s="44" t="n">
        <x:v>14448</x:v>
      </x:c>
      <x:c r="E86" s="44" t="n">
        <x:v>22000</x:v>
      </x:c>
      <x:c r="F86" s="44" t="n">
        <x:v>2200</x:v>
      </x:c>
      <x:c r="G86" s="44" t="n">
        <x:v>1376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43" t="n">
        <x:v>45919</x:v>
      </x:c>
      <x:c r="B87" s="44" t="n">
        <x:f>IF(COUNT(C87:D87)=2,SUM(C87:D87),"")</x:f>
        <x:v>300900</x:v>
      </x:c>
      <x:c r="C87" s="44" t="n">
        <x:v>285415</x:v>
      </x:c>
      <x:c r="D87" s="44" t="n">
        <x:v>15485</x:v>
      </x:c>
      <x:c r="E87" s="44" t="n">
        <x:v>22000</x:v>
      </x:c>
      <x:c r="F87" s="44" t="n">
        <x:v>2200</x:v>
      </x:c>
      <x:c r="G87" s="44" t="n">
        <x:v>1355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43" t="n">
        <x:v>45920</x:v>
      </x:c>
      <x:c r="B88" s="44" t="n">
        <x:f>IF(COUNT(C88:D88)=2,SUM(C88:D88),"")</x:f>
        <x:v>257508</x:v>
      </x:c>
      <x:c r="C88" s="44" t="n">
        <x:v>243122</x:v>
      </x:c>
      <x:c r="D88" s="44" t="n">
        <x:v>14386</x:v>
      </x:c>
      <x:c r="E88" s="44" t="n">
        <x:v>22000</x:v>
      </x:c>
      <x:c r="F88" s="44" t="n">
        <x:v>2200</x:v>
      </x:c>
      <x:c r="G88" s="44" t="n">
        <x:v>1414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43" t="n">
        <x:v>45921</x:v>
      </x:c>
      <x:c r="B89" s="44" t="n">
        <x:f>IF(COUNT(C89:D89)=2,SUM(C89:D89),"")</x:f>
        <x:v>200279</x:v>
      </x:c>
      <x:c r="C89" s="44" t="n">
        <x:v>189830</x:v>
      </x:c>
      <x:c r="D89" s="44" t="n">
        <x:v>10449</x:v>
      </x:c>
      <x:c r="E89" s="44" t="n">
        <x:v>22000</x:v>
      </x:c>
      <x:c r="F89" s="44" t="n">
        <x:v>2200</x:v>
      </x:c>
      <x:c r="G89" s="44" t="n">
        <x:v>1149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43" t="n">
        <x:v>45922</x:v>
      </x:c>
      <x:c r="B90" s="44" t="n">
        <x:f>IF(COUNT(C90:D90)=2,SUM(C90:D90),"")</x:f>
        <x:v>169998</x:v>
      </x:c>
      <x:c r="C90" s="44" t="n">
        <x:v>163239</x:v>
      </x:c>
      <x:c r="D90" s="44" t="n">
        <x:v>6759</x:v>
      </x:c>
      <x:c r="E90" s="44" t="n">
        <x:v>22000</x:v>
      </x:c>
      <x:c r="F90" s="44" t="n">
        <x:v>2200</x:v>
      </x:c>
      <x:c r="G90" s="44" t="n">
        <x:v>706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43" t="n">
        <x:v>45923</x:v>
      </x:c>
      <x:c r="B91" s="44" t="n">
        <x:f>IF(COUNT(C91:D91)=2,SUM(C91:D91),"")</x:f>
        <x:v>104156</x:v>
      </x:c>
      <x:c r="C91" s="44" t="n">
        <x:v>100068</x:v>
      </x:c>
      <x:c r="D91" s="44" t="n">
        <x:v>4088</x:v>
      </x:c>
      <x:c r="E91" s="44" t="n">
        <x:v>22000</x:v>
      </x:c>
      <x:c r="F91" s="44" t="n">
        <x:v>2200</x:v>
      </x:c>
      <x:c r="G91" s="44" t="n">
        <x:v>459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43" t="n">
        <x:v>45924</x:v>
      </x:c>
      <x:c r="B92" s="44" t="n">
        <x:f>IF(COUNT(C92:D92)=2,SUM(C92:D92),"")</x:f>
        <x:v>294051</x:v>
      </x:c>
      <x:c r="C92" s="44" t="n">
        <x:v>279929</x:v>
      </x:c>
      <x:c r="D92" s="44" t="n">
        <x:v>14122</x:v>
      </x:c>
      <x:c r="E92" s="44" t="n">
        <x:v>22000</x:v>
      </x:c>
      <x:c r="F92" s="44" t="n">
        <x:v>2200</x:v>
      </x:c>
      <x:c r="G92" s="44" t="n">
        <x:v>1570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43" t="n">
        <x:v>45925</x:v>
      </x:c>
      <x:c r="B93" s="44" t="n">
        <x:f>IF(COUNT(C93:D93)=2,SUM(C93:D93),"")</x:f>
        <x:v>290227</x:v>
      </x:c>
      <x:c r="C93" s="44" t="n">
        <x:v>275918</x:v>
      </x:c>
      <x:c r="D93" s="44" t="n">
        <x:v>14309</x:v>
      </x:c>
      <x:c r="E93" s="44" t="n">
        <x:v>22000</x:v>
      </x:c>
      <x:c r="F93" s="44" t="n">
        <x:v>2200</x:v>
      </x:c>
      <x:c r="G93" s="44" t="n">
        <x:v>1623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43" t="n">
        <x:v>45926</x:v>
      </x:c>
      <x:c r="B94" s="44" t="n">
        <x:f>IF(COUNT(C94:D94)=2,SUM(C94:D94),"")</x:f>
        <x:v>278441</x:v>
      </x:c>
      <x:c r="C94" s="44" t="n">
        <x:v>264844</x:v>
      </x:c>
      <x:c r="D94" s="44" t="n">
        <x:v>13597</x:v>
      </x:c>
      <x:c r="E94" s="44" t="n">
        <x:v>22000</x:v>
      </x:c>
      <x:c r="F94" s="44" t="n">
        <x:v>2200</x:v>
      </x:c>
      <x:c r="G94" s="44" t="n">
        <x:v>1511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43" t="n">
        <x:v>45927</x:v>
      </x:c>
      <x:c r="B95" s="44" t="n">
        <x:f>IF(COUNT(C95:D95)=2,SUM(C95:D95),"")</x:f>
        <x:v>233954</x:v>
      </x:c>
      <x:c r="C95" s="44" t="n">
        <x:v>220880</x:v>
      </x:c>
      <x:c r="D95" s="44" t="n">
        <x:v>13074</x:v>
      </x:c>
      <x:c r="E95" s="44" t="n">
        <x:v>22000</x:v>
      </x:c>
      <x:c r="F95" s="44" t="n">
        <x:v>2200</x:v>
      </x:c>
      <x:c r="G95" s="44" t="n">
        <x:v>1584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43" t="n">
        <x:v>45928</x:v>
      </x:c>
      <x:c r="B96" s="44" t="n">
        <x:f>IF(COUNT(C96:D96)=2,SUM(C96:D96),"")</x:f>
        <x:v>214650</x:v>
      </x:c>
      <x:c r="C96" s="44" t="n">
        <x:v>202989</x:v>
      </x:c>
      <x:c r="D96" s="44" t="n">
        <x:v>11661</x:v>
      </x:c>
      <x:c r="E96" s="44" t="n">
        <x:v>22000</x:v>
      </x:c>
      <x:c r="F96" s="44" t="n">
        <x:v>2200</x:v>
      </x:c>
      <x:c r="G96" s="44" t="n">
        <x:v>1573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43" t="n">
        <x:v>45929</x:v>
      </x:c>
      <x:c r="B97" s="44" t="n">
        <x:f>IF(COUNT(C97:D97)=2,SUM(C97:D97),"")</x:f>
        <x:v>202622</x:v>
      </x:c>
      <x:c r="C97" s="44" t="n">
        <x:v>192524</x:v>
      </x:c>
      <x:c r="D97" s="44" t="n">
        <x:v>10098</x:v>
      </x:c>
      <x:c r="E97" s="44" t="n">
        <x:v>22000</x:v>
      </x:c>
      <x:c r="F97" s="44" t="n">
        <x:v>2200</x:v>
      </x:c>
      <x:c r="G97" s="44" t="n">
        <x:v>1525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43" t="n">
        <x:v>45930</x:v>
      </x:c>
      <x:c r="B98" s="44" t="n">
        <x:f>IF(COUNT(C98:D98)=2,SUM(C98:D98),"")</x:f>
        <x:v>287745</x:v>
      </x:c>
      <x:c r="C98" s="44" t="n">
        <x:v>273948</x:v>
      </x:c>
      <x:c r="D98" s="44" t="n">
        <x:v>13797</x:v>
      </x:c>
      <x:c r="E98" s="44" t="n">
        <x:v>22000</x:v>
      </x:c>
      <x:c r="F98" s="44" t="n">
        <x:v>2200</x:v>
      </x:c>
      <x:c r="G98" s="44" t="n">
        <x:v>2301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43" t="n">
        <x:v>45931</x:v>
      </x:c>
      <x:c r="B99" s="44" t="n">
        <x:f>IF(COUNT(C99:D99)=2,SUM(C99:D99),"")</x:f>
        <x:v>265426</x:v>
      </x:c>
      <x:c r="C99" s="44" t="n">
        <x:v>253290</x:v>
      </x:c>
      <x:c r="D99" s="44" t="n">
        <x:v>12136</x:v>
      </x:c>
      <x:c r="E99" s="44" t="n">
        <x:v>22000</x:v>
      </x:c>
      <x:c r="F99" s="44" t="n">
        <x:v>2200</x:v>
      </x:c>
      <x:c r="G99" s="44" t="n">
        <x:v>1240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43" t="n">
        <x:v>45932</x:v>
      </x:c>
      <x:c r="B100" s="44" t="n">
        <x:f>IF(COUNT(C100:D100)=2,SUM(C100:D100),"")</x:f>
        <x:v>288418</x:v>
      </x:c>
      <x:c r="C100" s="44" t="n">
        <x:v>274906</x:v>
      </x:c>
      <x:c r="D100" s="44" t="n">
        <x:v>13512</x:v>
      </x:c>
      <x:c r="E100" s="44" t="n">
        <x:v>22000</x:v>
      </x:c>
      <x:c r="F100" s="44" t="n">
        <x:v>2200</x:v>
      </x:c>
      <x:c r="G100" s="44" t="n">
        <x:v>1410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3" t="n">
        <x:v>45933</x:v>
      </x:c>
      <x:c r="B101" s="44" t="n">
        <x:f>IF(COUNT(C101:D101)=2,SUM(C101:D101),"")</x:f>
        <x:v>297480</x:v>
      </x:c>
      <x:c r="C101" s="44" t="n">
        <x:v>283222</x:v>
      </x:c>
      <x:c r="D101" s="44" t="n">
        <x:v>14258</x:v>
      </x:c>
      <x:c r="E101" s="44" t="n">
        <x:v>22000</x:v>
      </x:c>
      <x:c r="F101" s="44" t="n">
        <x:v>2200</x:v>
      </x:c>
      <x:c r="G101" s="44" t="n">
        <x:v>1435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43" t="n">
        <x:v>45934</x:v>
      </x:c>
      <x:c r="B102" s="44" t="n">
        <x:f>IF(COUNT(C102:D102)=2,SUM(C102:D102),"")</x:f>
        <x:v>215717</x:v>
      </x:c>
      <x:c r="C102" s="44" t="n">
        <x:v>204701</x:v>
      </x:c>
      <x:c r="D102" s="44" t="n">
        <x:v>11016</x:v>
      </x:c>
      <x:c r="E102" s="44" t="n">
        <x:v>22000</x:v>
      </x:c>
      <x:c r="F102" s="44" t="n">
        <x:v>2200</x:v>
      </x:c>
      <x:c r="G102" s="44" t="n">
        <x:v>1169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43" t="n">
        <x:v>45935</x:v>
      </x:c>
      <x:c r="B103" s="44" t="n">
        <x:f>IF(COUNT(C103:D103)=2,SUM(C103:D103),"")</x:f>
        <x:v>195255</x:v>
      </x:c>
      <x:c r="C103" s="44" t="n">
        <x:v>185220</x:v>
      </x:c>
      <x:c r="D103" s="44" t="n">
        <x:v>10035</x:v>
      </x:c>
      <x:c r="E103" s="44" t="n">
        <x:v>22000</x:v>
      </x:c>
      <x:c r="F103" s="44" t="n">
        <x:v>2200</x:v>
      </x:c>
      <x:c r="G103" s="44" t="n">
        <x:v>1149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43" t="n">
        <x:v>45936</x:v>
      </x:c>
      <x:c r="B104" s="44" t="n">
        <x:f>IF(COUNT(C104:D104)=2,SUM(C104:D104),"")</x:f>
        <x:v>191667</x:v>
      </x:c>
      <x:c r="C104" s="44" t="n">
        <x:v>182665</x:v>
      </x:c>
      <x:c r="D104" s="44" t="n">
        <x:v>9002</x:v>
      </x:c>
      <x:c r="E104" s="44" t="n">
        <x:v>22000</x:v>
      </x:c>
      <x:c r="F104" s="44" t="n">
        <x:v>2200</x:v>
      </x:c>
      <x:c r="G104" s="44" t="n">
        <x:v>1019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43" t="n">
        <x:v>45937</x:v>
      </x:c>
      <x:c r="B105" s="44" t="n">
        <x:f>IF(COUNT(C105:D105)=2,SUM(C105:D105),"")</x:f>
        <x:v>282456</x:v>
      </x:c>
      <x:c r="C105" s="44" t="n">
        <x:v>270110</x:v>
      </x:c>
      <x:c r="D105" s="44" t="n">
        <x:v>12346</x:v>
      </x:c>
      <x:c r="E105" s="44" t="n">
        <x:v>22000</x:v>
      </x:c>
      <x:c r="F105" s="44" t="n">
        <x:v>2200</x:v>
      </x:c>
      <x:c r="G105" s="44" t="n">
        <x:v>1248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43" t="n">
        <x:v>45938</x:v>
      </x:c>
      <x:c r="B106" s="44" t="n">
        <x:f>IF(COUNT(C106:D106)=2,SUM(C106:D106),"")</x:f>
        <x:v>284731</x:v>
      </x:c>
      <x:c r="C106" s="44" t="n">
        <x:v>271965</x:v>
      </x:c>
      <x:c r="D106" s="44" t="n">
        <x:v>12766</x:v>
      </x:c>
      <x:c r="E106" s="44" t="n">
        <x:v>22000</x:v>
      </x:c>
      <x:c r="F106" s="44" t="n">
        <x:v>2200</x:v>
      </x:c>
      <x:c r="G106" s="44" t="n">
        <x:v>1249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43" t="n">
        <x:v>45939</x:v>
      </x:c>
      <x:c r="B107" s="44" t="n">
        <x:f>IF(COUNT(C107:D107)=2,SUM(C107:D107),"")</x:f>
        <x:v>286757</x:v>
      </x:c>
      <x:c r="C107" s="44" t="n">
        <x:v>273919</x:v>
      </x:c>
      <x:c r="D107" s="44" t="n">
        <x:v>12838</x:v>
      </x:c>
      <x:c r="E107" s="44" t="n">
        <x:v>22000</x:v>
      </x:c>
      <x:c r="F107" s="44" t="n">
        <x:v>2200</x:v>
      </x:c>
      <x:c r="G107" s="44" t="n">
        <x:v>1256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43" t="n">
        <x:v>45940</x:v>
      </x:c>
      <x:c r="B108" s="44" t="n">
        <x:f>IF(COUNT(C108:D108)=2,SUM(C108:D108),"")</x:f>
        <x:v>223858</x:v>
      </x:c>
      <x:c r="C108" s="44" t="n">
        <x:v>212153</x:v>
      </x:c>
      <x:c r="D108" s="44" t="n">
        <x:v>11705</x:v>
      </x:c>
      <x:c r="E108" s="44" t="n">
        <x:v>22000</x:v>
      </x:c>
      <x:c r="F108" s="44" t="n">
        <x:v>2200</x:v>
      </x:c>
      <x:c r="G108" s="44" t="n">
        <x:v>1262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43" t="n">
        <x:v>45941</x:v>
      </x:c>
      <x:c r="B109" s="44" t="n">
        <x:f>IF(COUNT(C109:D109)=2,SUM(C109:D109),"")</x:f>
        <x:v>232918</x:v>
      </x:c>
      <x:c r="C109" s="44" t="n">
        <x:v>220612</x:v>
      </x:c>
      <x:c r="D109" s="44" t="n">
        <x:v>12306</x:v>
      </x:c>
      <x:c r="E109" s="44" t="n">
        <x:v>22000</x:v>
      </x:c>
      <x:c r="F109" s="44" t="n">
        <x:v>2200</x:v>
      </x:c>
      <x:c r="G109" s="44" t="n">
        <x:v>1273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43" t="n">
        <x:v>45942</x:v>
      </x:c>
      <x:c r="B110" s="44" t="n">
        <x:f>IF(COUNT(C110:D110)=2,SUM(C110:D110),"")</x:f>
        <x:v>216592</x:v>
      </x:c>
      <x:c r="C110" s="44" t="n">
        <x:v>206139</x:v>
      </x:c>
      <x:c r="D110" s="44" t="n">
        <x:v>10453</x:v>
      </x:c>
      <x:c r="E110" s="44" t="n">
        <x:v>22000</x:v>
      </x:c>
      <x:c r="F110" s="44" t="n">
        <x:v>2200</x:v>
      </x:c>
      <x:c r="G110" s="44" t="n">
        <x:v>1170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43" t="n">
        <x:v>45943</x:v>
      </x:c>
      <x:c r="B111" s="44" t="n">
        <x:f>IF(COUNT(C111:D111)=2,SUM(C111:D111),"")</x:f>
        <x:v>277902</x:v>
      </x:c>
      <x:c r="C111" s="44" t="n">
        <x:v>265850</x:v>
      </x:c>
      <x:c r="D111" s="44" t="n">
        <x:v>12052</x:v>
      </x:c>
      <x:c r="E111" s="44" t="n">
        <x:v>22140</x:v>
      </x:c>
      <x:c r="F111" s="44" t="n">
        <x:v>2400</x:v>
      </x:c>
      <x:c r="G111" s="44" t="n">
        <x:v>1211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43" t="n">
        <x:v>45944</x:v>
      </x:c>
      <x:c r="B112" s="44" t="n">
        <x:f>IF(COUNT(C112:D112)=2,SUM(C112:D112),"")</x:f>
        <x:v>288944</x:v>
      </x:c>
      <x:c r="C112" s="44" t="n">
        <x:v>275024</x:v>
      </x:c>
      <x:c r="D112" s="44" t="n">
        <x:v>13920</x:v>
      </x:c>
      <x:c r="E112" s="44" t="n">
        <x:v>22140</x:v>
      </x:c>
      <x:c r="F112" s="44" t="n">
        <x:v>2400</x:v>
      </x:c>
      <x:c r="G112" s="44" t="n">
        <x:v>1341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43" t="n">
        <x:v>45945</x:v>
      </x:c>
      <x:c r="B113" s="44" t="n">
        <x:f>IF(COUNT(C113:D113)=2,SUM(C113:D113),"")</x:f>
        <x:v>293393</x:v>
      </x:c>
      <x:c r="C113" s="44" t="n">
        <x:v>278588</x:v>
      </x:c>
      <x:c r="D113" s="44" t="n">
        <x:v>14805</x:v>
      </x:c>
      <x:c r="E113" s="44" t="n">
        <x:v>22140</x:v>
      </x:c>
      <x:c r="F113" s="44" t="n">
        <x:v>2400</x:v>
      </x:c>
      <x:c r="G113" s="44" t="n">
        <x:v>1415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43" t="n">
        <x:v>45946</x:v>
      </x:c>
      <x:c r="B114" s="44" t="n">
        <x:f>IF(COUNT(C114:D114)=2,SUM(C114:D114),"")</x:f>
        <x:v>292884</x:v>
      </x:c>
      <x:c r="C114" s="44" t="n">
        <x:v>277941</x:v>
      </x:c>
      <x:c r="D114" s="44" t="n">
        <x:v>14943</x:v>
      </x:c>
      <x:c r="E114" s="44" t="n">
        <x:v>22140</x:v>
      </x:c>
      <x:c r="F114" s="44" t="n">
        <x:v>2400</x:v>
      </x:c>
      <x:c r="G114" s="44" t="n">
        <x:v>1423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43" t="n">
        <x:v>45947</x:v>
      </x:c>
      <x:c r="B115" s="44" t="n">
        <x:f>IF(COUNT(C115:D115)=2,SUM(C115:D115),"")</x:f>
        <x:v>301717</x:v>
      </x:c>
      <x:c r="C115" s="44" t="n">
        <x:v>285975</x:v>
      </x:c>
      <x:c r="D115" s="44" t="n">
        <x:v>15742</x:v>
      </x:c>
      <x:c r="E115" s="44" t="n">
        <x:v>22140</x:v>
      </x:c>
      <x:c r="F115" s="44" t="n">
        <x:v>2400</x:v>
      </x:c>
      <x:c r="G115" s="44" t="n">
        <x:v>1467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43" t="n">
        <x:v>45948</x:v>
      </x:c>
      <x:c r="B116" s="44" t="n">
        <x:f>IF(COUNT(C116:D116)=2,SUM(C116:D116),"")</x:f>
        <x:v>250955</x:v>
      </x:c>
      <x:c r="C116" s="44" t="n">
        <x:v>237601</x:v>
      </x:c>
      <x:c r="D116" s="44" t="n">
        <x:v>13354</x:v>
      </x:c>
      <x:c r="E116" s="44" t="n">
        <x:v>22140</x:v>
      </x:c>
      <x:c r="F116" s="44" t="n">
        <x:v>2400</x:v>
      </x:c>
      <x:c r="G116" s="44" t="n">
        <x:v>1338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43" t="n">
        <x:v>45949</x:v>
      </x:c>
      <x:c r="B117" s="44" t="n">
        <x:f>IF(COUNT(C117:D117)=2,SUM(C117:D117),"")</x:f>
        <x:v>116874</x:v>
      </x:c>
      <x:c r="C117" s="44" t="n">
        <x:v>110925</x:v>
      </x:c>
      <x:c r="D117" s="44" t="n">
        <x:v>5949</x:v>
      </x:c>
      <x:c r="E117" s="44" t="n">
        <x:v>22140</x:v>
      </x:c>
      <x:c r="F117" s="44" t="n">
        <x:v>2400</x:v>
      </x:c>
      <x:c r="G117" s="44" t="n">
        <x:v>729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43" t="n">
        <x:v>45950</x:v>
      </x:c>
      <x:c r="B118" s="44" t="n">
        <x:f>IF(COUNT(C118:D118)=2,SUM(C118:D118),"")</x:f>
        <x:v>40111</x:v>
      </x:c>
      <x:c r="C118" s="44" t="n">
        <x:v>38466</x:v>
      </x:c>
      <x:c r="D118" s="44" t="n">
        <x:v>1645</x:v>
      </x:c>
      <x:c r="E118" s="44" t="n">
        <x:v>22140</x:v>
      </x:c>
      <x:c r="F118" s="44" t="n">
        <x:v>2400</x:v>
      </x:c>
      <x:c r="G118" s="44" t="n">
        <x:v>210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43" t="n">
        <x:v>45951</x:v>
      </x:c>
      <x:c r="B119" s="44" t="n">
        <x:f>IF(COUNT(C119:D119)=2,SUM(C119:D119),"")</x:f>
        <x:v>31321</x:v>
      </x:c>
      <x:c r="C119" s="44" t="n">
        <x:v>30050</x:v>
      </x:c>
      <x:c r="D119" s="44" t="n">
        <x:v>1271</x:v>
      </x:c>
      <x:c r="E119" s="44" t="n">
        <x:v>22140</x:v>
      </x:c>
      <x:c r="F119" s="44" t="n">
        <x:v>2400</x:v>
      </x:c>
      <x:c r="G119" s="44" t="n">
        <x:v>180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43" t="n">
        <x:v>45952</x:v>
      </x:c>
      <x:c r="B120" s="44" t="n">
        <x:f>IF(COUNT(C120:D120)=2,SUM(C120:D120),"")</x:f>
        <x:v>57455</x:v>
      </x:c>
      <x:c r="C120" s="44" t="n">
        <x:v>55173</x:v>
      </x:c>
      <x:c r="D120" s="44" t="n">
        <x:v>2282</x:v>
      </x:c>
      <x:c r="E120" s="44" t="n">
        <x:v>22140</x:v>
      </x:c>
      <x:c r="F120" s="44" t="n">
        <x:v>2400</x:v>
      </x:c>
      <x:c r="G120" s="44" t="n">
        <x:v>301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43" t="n">
        <x:v>45953</x:v>
      </x:c>
      <x:c r="B121" s="44" t="n">
        <x:f>IF(COUNT(C121:D121)=2,SUM(C121:D121),"")</x:f>
        <x:v>108921</x:v>
      </x:c>
      <x:c r="C121" s="44" t="n">
        <x:v>104438</x:v>
      </x:c>
      <x:c r="D121" s="44" t="n">
        <x:v>4483</x:v>
      </x:c>
      <x:c r="E121" s="44" t="n">
        <x:v>22140</x:v>
      </x:c>
      <x:c r="F121" s="44" t="n">
        <x:v>2400</x:v>
      </x:c>
      <x:c r="G121" s="44" t="n">
        <x:v>608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43" t="n">
        <x:v>45954</x:v>
      </x:c>
      <x:c r="B122" s="44" t="n">
        <x:f>IF(COUNT(C122:D122)=2,SUM(C122:D122),"")</x:f>
        <x:v>71222</x:v>
      </x:c>
      <x:c r="C122" s="44" t="n">
        <x:v>67949</x:v>
      </x:c>
      <x:c r="D122" s="44" t="n">
        <x:v>3273</x:v>
      </x:c>
      <x:c r="E122" s="44" t="n">
        <x:v>22140</x:v>
      </x:c>
      <x:c r="F122" s="44" t="n">
        <x:v>2400</x:v>
      </x:c>
      <x:c r="G122" s="44" t="n">
        <x:v>481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43" t="n">
        <x:v>45955</x:v>
      </x:c>
      <x:c r="B123" s="44" t="n">
        <x:f>IF(COUNT(C123:D123)=2,SUM(C123:D123),"")</x:f>
        <x:v>126626</x:v>
      </x:c>
      <x:c r="C123" s="44" t="n">
        <x:v>120257</x:v>
      </x:c>
      <x:c r="D123" s="44" t="n">
        <x:v>6369</x:v>
      </x:c>
      <x:c r="E123" s="44" t="n">
        <x:v>22140</x:v>
      </x:c>
      <x:c r="F123" s="44" t="n">
        <x:v>2400</x:v>
      </x:c>
      <x:c r="G123" s="44" t="n">
        <x:v>851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43" t="n">
        <x:v>45956</x:v>
      </x:c>
      <x:c r="B124" s="44" t="n">
        <x:f>IF(COUNT(C124:D124)=2,SUM(C124:D124),"")</x:f>
        <x:v>187095</x:v>
      </x:c>
      <x:c r="C124" s="44" t="n">
        <x:v>177573</x:v>
      </x:c>
      <x:c r="D124" s="44" t="n">
        <x:v>9522</x:v>
      </x:c>
      <x:c r="E124" s="44" t="n">
        <x:v>22140</x:v>
      </x:c>
      <x:c r="F124" s="44" t="n">
        <x:v>2400</x:v>
      </x:c>
      <x:c r="G124" s="44" t="n">
        <x:v>1317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43" t="n">
        <x:v>45957</x:v>
      </x:c>
      <x:c r="B125" s="44" t="n">
        <x:f>IF(COUNT(C125:D125)=2,SUM(C125:D125),"")</x:f>
        <x:v>218500</x:v>
      </x:c>
      <x:c r="C125" s="44" t="n">
        <x:v>208699</x:v>
      </x:c>
      <x:c r="D125" s="44" t="n">
        <x:v>9801</x:v>
      </x:c>
      <x:c r="E125" s="44" t="n">
        <x:v>22140</x:v>
      </x:c>
      <x:c r="F125" s="44" t="n">
        <x:v>2400</x:v>
      </x:c>
      <x:c r="G125" s="44" t="n">
        <x:v>1364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43" t="n">
        <x:v>45958</x:v>
      </x:c>
      <x:c r="B126" s="44" t="n">
        <x:f>IF(COUNT(C126:D126)=2,SUM(C126:D126),"")</x:f>
        <x:v>101100</x:v>
      </x:c>
      <x:c r="C126" s="44" t="n">
        <x:v>96735</x:v>
      </x:c>
      <x:c r="D126" s="44" t="n">
        <x:v>4365</x:v>
      </x:c>
      <x:c r="E126" s="44" t="n">
        <x:v>22140</x:v>
      </x:c>
      <x:c r="F126" s="44" t="n">
        <x:v>2400</x:v>
      </x:c>
      <x:c r="G126" s="44" t="n">
        <x:v>578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43" t="n">
        <x:v>45959</x:v>
      </x:c>
      <x:c r="B127" s="44" t="n">
        <x:f>IF(COUNT(C127:D127)=2,SUM(C127:D127),"")</x:f>
        <x:v>271228</x:v>
      </x:c>
      <x:c r="C127" s="44" t="n">
        <x:v>258473</x:v>
      </x:c>
      <x:c r="D127" s="44" t="n">
        <x:v>12755</x:v>
      </x:c>
      <x:c r="E127" s="44" t="n">
        <x:v>22140</x:v>
      </x:c>
      <x:c r="F127" s="44" t="n">
        <x:v>2400</x:v>
      </x:c>
      <x:c r="G127" s="44" t="n">
        <x:v>1831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43" t="n">
        <x:v>45960</x:v>
      </x:c>
      <x:c r="B128" s="44" t="n">
        <x:f>IF(COUNT(C128:D128)=2,SUM(C128:D128),"")</x:f>
        <x:v>288248</x:v>
      </x:c>
      <x:c r="C128" s="44" t="n">
        <x:v>273253</x:v>
      </x:c>
      <x:c r="D128" s="44" t="n">
        <x:v>14995</x:v>
      </x:c>
      <x:c r="E128" s="44" t="n">
        <x:v>22140</x:v>
      </x:c>
      <x:c r="F128" s="44" t="n">
        <x:v>2400</x:v>
      </x:c>
      <x:c r="G128" s="44" t="n">
        <x:v>2315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43" t="n">
        <x:v>45961</x:v>
      </x:c>
      <x:c r="B129" s="44" t="n">
        <x:f>IF(COUNT(C129:D129)=2,SUM(C129:D129),"")</x:f>
        <x:v>294560</x:v>
      </x:c>
      <x:c r="C129" s="44" t="n">
        <x:v>279066</x:v>
      </x:c>
      <x:c r="D129" s="44" t="n">
        <x:v>15494</x:v>
      </x:c>
      <x:c r="E129" s="44" t="n">
        <x:v>22140</x:v>
      </x:c>
      <x:c r="F129" s="44" t="n">
        <x:v>2400</x:v>
      </x:c>
      <x:c r="G129" s="44" t="n">
        <x:v>2706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43" t="n">
        <x:v>45962</x:v>
      </x:c>
      <x:c r="B130" s="44" t="n">
        <x:f>IF(COUNT(C130:D130)=2,SUM(C130:D130),"")</x:f>
        <x:v>223023</x:v>
      </x:c>
      <x:c r="C130" s="44" t="n">
        <x:v>212012</x:v>
      </x:c>
      <x:c r="D130" s="44" t="n">
        <x:v>11011</x:v>
      </x:c>
      <x:c r="E130" s="44" t="n">
        <x:v>22140</x:v>
      </x:c>
      <x:c r="F130" s="44" t="n">
        <x:v>2400</x:v>
      </x:c>
      <x:c r="G130" s="44" t="n">
        <x:v>1143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43" t="n">
        <x:v>45963</x:v>
      </x:c>
      <x:c r="B131" s="44" t="n">
        <x:f>IF(COUNT(C131:D131)=2,SUM(C131:D131),"")</x:f>
        <x:v>168143</x:v>
      </x:c>
      <x:c r="C131" s="44" t="n">
        <x:v>160348</x:v>
      </x:c>
      <x:c r="D131" s="44" t="n">
        <x:v>7795</x:v>
      </x:c>
      <x:c r="E131" s="44" t="n">
        <x:v>22140</x:v>
      </x:c>
      <x:c r="F131" s="44" t="n">
        <x:v>2400</x:v>
      </x:c>
      <x:c r="G131" s="44" t="n">
        <x:v>790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43" t="n">
        <x:v>45964</x:v>
      </x:c>
      <x:c r="B132" s="44" t="n">
        <x:f>IF(COUNT(C132:D132)=2,SUM(C132:D132),"")</x:f>
        <x:v>155420</x:v>
      </x:c>
      <x:c r="C132" s="44" t="n">
        <x:v>149175</x:v>
      </x:c>
      <x:c r="D132" s="44" t="n">
        <x:v>6245</x:v>
      </x:c>
      <x:c r="E132" s="44" t="n">
        <x:v>22140</x:v>
      </x:c>
      <x:c r="F132" s="44" t="n">
        <x:v>2400</x:v>
      </x:c>
      <x:c r="G132" s="44" t="n">
        <x:v>686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43" t="n">
        <x:v>45965</x:v>
      </x:c>
      <x:c r="B133" s="44" t="n">
        <x:f>IF(COUNT(C133:D133)=2,SUM(C133:D133),"")</x:f>
        <x:v>214450</x:v>
      </x:c>
      <x:c r="C133" s="44" t="n">
        <x:v>205738</x:v>
      </x:c>
      <x:c r="D133" s="44" t="n">
        <x:v>8712</x:v>
      </x:c>
      <x:c r="E133" s="44" t="n">
        <x:v>22140</x:v>
      </x:c>
      <x:c r="F133" s="44" t="n">
        <x:v>2400</x:v>
      </x:c>
      <x:c r="G133" s="44" t="n">
        <x:v>973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43" t="n">
        <x:v>45966</x:v>
      </x:c>
      <x:c r="B134" s="44" t="n">
        <x:f>IF(COUNT(C134:D134)=2,SUM(C134:D134),"")</x:f>
        <x:v>258646</x:v>
      </x:c>
      <x:c r="C134" s="44" t="n">
        <x:v>248022</x:v>
      </x:c>
      <x:c r="D134" s="44" t="n">
        <x:v>10624</x:v>
      </x:c>
      <x:c r="E134" s="44" t="n">
        <x:v>22140</x:v>
      </x:c>
      <x:c r="F134" s="44" t="n">
        <x:v>2400</x:v>
      </x:c>
      <x:c r="G134" s="44" t="n">
        <x:v>1128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43" t="n">
        <x:v>45967</x:v>
      </x:c>
      <x:c r="B135" s="44" t="n">
        <x:f>IF(COUNT(C135:D135)=2,SUM(C135:D135),"")</x:f>
        <x:v>295691</x:v>
      </x:c>
      <x:c r="C135" s="44" t="n">
        <x:v>282266</x:v>
      </x:c>
      <x:c r="D135" s="44" t="n">
        <x:v>13425</x:v>
      </x:c>
      <x:c r="E135" s="44" t="n">
        <x:v>22140</x:v>
      </x:c>
      <x:c r="F135" s="44" t="n">
        <x:v>2400</x:v>
      </x:c>
      <x:c r="G135" s="44" t="n">
        <x:v>1428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43" t="n">
        <x:v>45968</x:v>
      </x:c>
      <x:c r="B136" s="44" t="n">
        <x:f>IF(COUNT(C136:D136)=2,SUM(C136:D136),"")</x:f>
        <x:v>303100</x:v>
      </x:c>
      <x:c r="C136" s="44" t="n">
        <x:v>288333</x:v>
      </x:c>
      <x:c r="D136" s="44" t="n">
        <x:v>14767</x:v>
      </x:c>
      <x:c r="E136" s="44" t="n">
        <x:v>22140</x:v>
      </x:c>
      <x:c r="F136" s="44" t="n">
        <x:v>2400</x:v>
      </x:c>
      <x:c r="G136" s="44" t="n">
        <x:v>1483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43" t="n">
        <x:v>45969</x:v>
      </x:c>
      <x:c r="B137" s="44" t="n">
        <x:f>IF(COUNT(C137:D137)=2,SUM(C137:D137),"")</x:f>
        <x:v>265022</x:v>
      </x:c>
      <x:c r="C137" s="44" t="n">
        <x:v>250929</x:v>
      </x:c>
      <x:c r="D137" s="44" t="n">
        <x:v>14093</x:v>
      </x:c>
      <x:c r="E137" s="44" t="n">
        <x:v>22224</x:v>
      </x:c>
      <x:c r="F137" s="44" t="n">
        <x:v>2520</x:v>
      </x:c>
      <x:c r="G137" s="44" t="n">
        <x:v>1445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43" t="n">
        <x:v>45970</x:v>
      </x:c>
      <x:c r="B138" s="44" t="n">
        <x:f>IF(COUNT(C138:D138)=2,SUM(C138:D138),"")</x:f>
        <x:v>215240</x:v>
      </x:c>
      <x:c r="C138" s="44" t="n">
        <x:v>203850</x:v>
      </x:c>
      <x:c r="D138" s="44" t="n">
        <x:v>11390</x:v>
      </x:c>
      <x:c r="E138" s="44" t="n">
        <x:v>22224</x:v>
      </x:c>
      <x:c r="F138" s="44" t="n">
        <x:v>2520</x:v>
      </x:c>
      <x:c r="G138" s="44" t="n">
        <x:v>1253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43" t="n">
        <x:v>45971</x:v>
      </x:c>
      <x:c r="B139" s="44" t="n">
        <x:f>IF(COUNT(C139:D139)=2,SUM(C139:D139),"")</x:f>
        <x:v>84176</x:v>
      </x:c>
      <x:c r="C139" s="44" t="n">
        <x:v>80827</x:v>
      </x:c>
      <x:c r="D139" s="44" t="n">
        <x:v>3349</x:v>
      </x:c>
      <x:c r="E139" s="44" t="n">
        <x:v>22224</x:v>
      </x:c>
      <x:c r="F139" s="44" t="n">
        <x:v>2520</x:v>
      </x:c>
      <x:c r="G139" s="44" t="n">
        <x:v>433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43" t="n">
        <x:v>45972</x:v>
      </x:c>
      <x:c r="B140" s="44" t="n">
        <x:f>IF(COUNT(C140:D140)=2,SUM(C140:D140),"")</x:f>
        <x:v>73277</x:v>
      </x:c>
      <x:c r="C140" s="44" t="n">
        <x:v>70411</x:v>
      </x:c>
      <x:c r="D140" s="44" t="n">
        <x:v>2866</x:v>
      </x:c>
      <x:c r="E140" s="44" t="n">
        <x:v>22224</x:v>
      </x:c>
      <x:c r="F140" s="44" t="n">
        <x:v>2520</x:v>
      </x:c>
      <x:c r="G140" s="44" t="n">
        <x:v>377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43" t="n">
        <x:v>45973</x:v>
      </x:c>
      <x:c r="B141" s="44" t="n">
        <x:f>IF(COUNT(C141:D141)=2,SUM(C141:D141),"")</x:f>
        <x:v>253843</x:v>
      </x:c>
      <x:c r="C141" s="44" t="n">
        <x:v>242506</x:v>
      </x:c>
      <x:c r="D141" s="44" t="n">
        <x:v>11337</x:v>
      </x:c>
      <x:c r="E141" s="44" t="n">
        <x:v>22224</x:v>
      </x:c>
      <x:c r="F141" s="44" t="n">
        <x:v>2520</x:v>
      </x:c>
      <x:c r="G141" s="44" t="n">
        <x:v>1277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43" t="n">
        <x:v>45974</x:v>
      </x:c>
      <x:c r="B142" s="44" t="n">
        <x:f>IF(COUNT(C142:D142)=2,SUM(C142:D142),"")</x:f>
        <x:v>123983</x:v>
      </x:c>
      <x:c r="C142" s="44" t="n">
        <x:v>119037</x:v>
      </x:c>
      <x:c r="D142" s="44" t="n">
        <x:v>4946</x:v>
      </x:c>
      <x:c r="E142" s="44" t="n">
        <x:v>22224</x:v>
      </x:c>
      <x:c r="F142" s="44" t="n">
        <x:v>2520</x:v>
      </x:c>
      <x:c r="G142" s="44" t="n">
        <x:v>504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43" t="n">
        <x:v>45975</x:v>
      </x:c>
      <x:c r="B143" s="44" t="n">
        <x:f>IF(COUNT(C143:D143)=2,SUM(C143:D143),"")</x:f>
        <x:v>298849</x:v>
      </x:c>
      <x:c r="C143" s="44" t="n">
        <x:v>283695</x:v>
      </x:c>
      <x:c r="D143" s="44" t="n">
        <x:v>15154</x:v>
      </x:c>
      <x:c r="E143" s="44" t="n">
        <x:v>22224</x:v>
      </x:c>
      <x:c r="F143" s="44" t="n">
        <x:v>2520</x:v>
      </x:c>
      <x:c r="G143" s="44" t="n">
        <x:v>1658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43" t="n">
        <x:v>45976</x:v>
      </x:c>
      <x:c r="B144" s="44" t="n">
        <x:f>IF(COUNT(C144:D144)=2,SUM(C144:D144),"")</x:f>
        <x:v>271284</x:v>
      </x:c>
      <x:c r="C144" s="44" t="n">
        <x:v>256097</x:v>
      </x:c>
      <x:c r="D144" s="44" t="n">
        <x:v>15187</x:v>
      </x:c>
      <x:c r="E144" s="44" t="n">
        <x:v>22224</x:v>
      </x:c>
      <x:c r="F144" s="44" t="n">
        <x:v>2520</x:v>
      </x:c>
      <x:c r="G144" s="44" t="n">
        <x:v>1615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43" t="n">
        <x:v>45977</x:v>
      </x:c>
      <x:c r="B145" s="44" t="n">
        <x:f>IF(COUNT(C145:D145)=2,SUM(C145:D145),"")</x:f>
        <x:v>246056</x:v>
      </x:c>
      <x:c r="C145" s="44" t="n">
        <x:v>232773</x:v>
      </x:c>
      <x:c r="D145" s="44" t="n">
        <x:v>13283</x:v>
      </x:c>
      <x:c r="E145" s="44" t="n">
        <x:v>22224</x:v>
      </x:c>
      <x:c r="F145" s="44" t="n">
        <x:v>2520</x:v>
      </x:c>
      <x:c r="G145" s="44" t="n">
        <x:v>1407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43" t="n">
        <x:v>45978</x:v>
      </x:c>
      <x:c r="B146" s="44" t="n">
        <x:f>IF(COUNT(C146:D146)=2,SUM(C146:D146),"")</x:f>
        <x:v>165673</x:v>
      </x:c>
      <x:c r="C146" s="44" t="n">
        <x:v>159109</x:v>
      </x:c>
      <x:c r="D146" s="44" t="n">
        <x:v>6564</x:v>
      </x:c>
      <x:c r="E146" s="44" t="n">
        <x:v>22224</x:v>
      </x:c>
      <x:c r="F146" s="44" t="n">
        <x:v>2520</x:v>
      </x:c>
      <x:c r="G146" s="44" t="n">
        <x:v>745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43" t="n">
        <x:v>45979</x:v>
      </x:c>
      <x:c r="B147" s="44" t="n">
        <x:f>IF(COUNT(C147:D147)=2,SUM(C147:D147),"")</x:f>
        <x:v>161474</x:v>
      </x:c>
      <x:c r="C147" s="44" t="n">
        <x:v>155489</x:v>
      </x:c>
      <x:c r="D147" s="44" t="n">
        <x:v>5985</x:v>
      </x:c>
      <x:c r="E147" s="44" t="n">
        <x:v>22224</x:v>
      </x:c>
      <x:c r="F147" s="44" t="n">
        <x:v>2520</x:v>
      </x:c>
      <x:c r="G147" s="44" t="n">
        <x:v>658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43" t="n">
        <x:v>45980</x:v>
      </x:c>
      <x:c r="B148" s="44" t="n">
        <x:f>IF(COUNT(C148:D148)=2,SUM(C148:D148),"")</x:f>
        <x:v>252533</x:v>
      </x:c>
      <x:c r="C148" s="44" t="n">
        <x:v>241868</x:v>
      </x:c>
      <x:c r="D148" s="44" t="n">
        <x:v>10665</x:v>
      </x:c>
      <x:c r="E148" s="44" t="n">
        <x:v>22224</x:v>
      </x:c>
      <x:c r="F148" s="44" t="n">
        <x:v>2520</x:v>
      </x:c>
      <x:c r="G148" s="44" t="n">
        <x:v>1187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43" t="n">
        <x:v>45981</x:v>
      </x:c>
      <x:c r="B149" s="44" t="n">
        <x:f>IF(COUNT(C149:D149)=2,SUM(C149:D149),"")</x:f>
        <x:v>274243</x:v>
      </x:c>
      <x:c r="C149" s="44" t="n">
        <x:v>261281</x:v>
      </x:c>
      <x:c r="D149" s="44" t="n">
        <x:v>12962</x:v>
      </x:c>
      <x:c r="E149" s="44" t="n">
        <x:v>22224</x:v>
      </x:c>
      <x:c r="F149" s="44" t="n">
        <x:v>2520</x:v>
      </x:c>
      <x:c r="G149" s="44" t="n">
        <x:v>1504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43" t="n">
        <x:v>45982</x:v>
      </x:c>
      <x:c r="B150" s="44" t="n">
        <x:f>IF(COUNT(C150:D150)=2,SUM(C150:D150),"")</x:f>
        <x:v>282520</x:v>
      </x:c>
      <x:c r="C150" s="44" t="n">
        <x:v>268471</x:v>
      </x:c>
      <x:c r="D150" s="44" t="n">
        <x:v>14049</x:v>
      </x:c>
      <x:c r="E150" s="44" t="n">
        <x:v>22224</x:v>
      </x:c>
      <x:c r="F150" s="44" t="n">
        <x:v>2520</x:v>
      </x:c>
      <x:c r="G150" s="44" t="n">
        <x:v>1553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43" t="n">
        <x:v>45983</x:v>
      </x:c>
      <x:c r="B151" s="44" t="n">
        <x:f>IF(COUNT(C151:D151)=2,SUM(C151:D151),"")</x:f>
        <x:v>252910</x:v>
      </x:c>
      <x:c r="C151" s="44" t="n">
        <x:v>238997</x:v>
      </x:c>
      <x:c r="D151" s="44" t="n">
        <x:v>13913</x:v>
      </x:c>
      <x:c r="E151" s="44" t="n">
        <x:v>22224</x:v>
      </x:c>
      <x:c r="F151" s="44" t="n">
        <x:v>2520</x:v>
      </x:c>
      <x:c r="G151" s="44" t="n">
        <x:v>1560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43" t="n">
        <x:v>45984</x:v>
      </x:c>
      <x:c r="B152" s="44" t="n">
        <x:f>IF(COUNT(C152:D152)=2,SUM(C152:D152),"")</x:f>
        <x:v>237800</x:v>
      </x:c>
      <x:c r="C152" s="44" t="n">
        <x:v>224601</x:v>
      </x:c>
      <x:c r="D152" s="44" t="n">
        <x:v>13199</x:v>
      </x:c>
      <x:c r="E152" s="44" t="n">
        <x:v>22224</x:v>
      </x:c>
      <x:c r="F152" s="44" t="n">
        <x:v>2520</x:v>
      </x:c>
      <x:c r="G152" s="44" t="n">
        <x:v>1640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43" t="n">
        <x:v>45985</x:v>
      </x:c>
      <x:c r="B153" s="44" t="n">
        <x:f>IF(COUNT(C153:D153)=2,SUM(C153:D153),"")</x:f>
        <x:v>277992</x:v>
      </x:c>
      <x:c r="C153" s="44" t="n">
        <x:v>264297</x:v>
      </x:c>
      <x:c r="D153" s="44" t="n">
        <x:v>13695</x:v>
      </x:c>
      <x:c r="E153" s="44" t="n">
        <x:v>22224</x:v>
      </x:c>
      <x:c r="F153" s="44" t="n">
        <x:v>2520</x:v>
      </x:c>
      <x:c r="G153" s="44" t="n">
        <x:v>1684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43" t="n">
        <x:v>45986</x:v>
      </x:c>
      <x:c r="B154" s="44" t="n">
        <x:f>IF(COUNT(C154:D154)=2,SUM(C154:D154),"")</x:f>
        <x:v>275098</x:v>
      </x:c>
      <x:c r="C154" s="44" t="n">
        <x:v>261747</x:v>
      </x:c>
      <x:c r="D154" s="44" t="n">
        <x:v>13351</x:v>
      </x:c>
      <x:c r="E154" s="44" t="n">
        <x:v>22224</x:v>
      </x:c>
      <x:c r="F154" s="44" t="n">
        <x:v>2520</x:v>
      </x:c>
      <x:c r="G154" s="44" t="n">
        <x:v>1607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43" t="n">
        <x:v>45987</x:v>
      </x:c>
      <x:c r="B155" s="44" t="n">
        <x:f>IF(COUNT(C155:D155)=2,SUM(C155:D155),"")</x:f>
        <x:v>285391</x:v>
      </x:c>
      <x:c r="C155" s="44" t="n">
        <x:v>271323</x:v>
      </x:c>
      <x:c r="D155" s="44" t="n">
        <x:v>14068</x:v>
      </x:c>
      <x:c r="E155" s="44" t="n">
        <x:v>22224</x:v>
      </x:c>
      <x:c r="F155" s="44" t="n">
        <x:v>2520</x:v>
      </x:c>
      <x:c r="G155" s="44" t="n">
        <x:v>1702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43" t="n">
        <x:v>45988</x:v>
      </x:c>
      <x:c r="B156" s="44" t="n">
        <x:f>IF(COUNT(C156:D156)=2,SUM(C156:D156),"")</x:f>
        <x:v>283211</x:v>
      </x:c>
      <x:c r="C156" s="44" t="n">
        <x:v>269319</x:v>
      </x:c>
      <x:c r="D156" s="44" t="n">
        <x:v>13892</x:v>
      </x:c>
      <x:c r="E156" s="44" t="n">
        <x:v>22224</x:v>
      </x:c>
      <x:c r="F156" s="44" t="n">
        <x:v>2520</x:v>
      </x:c>
      <x:c r="G156" s="44" t="n">
        <x:v>1784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43" t="n">
        <x:v>45989</x:v>
      </x:c>
      <x:c r="B157" s="44" t="n">
        <x:f>IF(COUNT(C157:D157)=2,SUM(C157:D157),"")</x:f>
        <x:v>293408</x:v>
      </x:c>
      <x:c r="C157" s="44" t="n">
        <x:v>277944</x:v>
      </x:c>
      <x:c r="D157" s="44" t="n">
        <x:v>15464</x:v>
      </x:c>
      <x:c r="E157" s="44" t="n">
        <x:v>22224</x:v>
      </x:c>
      <x:c r="F157" s="44" t="n">
        <x:v>2520</x:v>
      </x:c>
      <x:c r="G157" s="44" t="n">
        <x:v>2055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43" t="n">
        <x:v>45990</x:v>
      </x:c>
      <x:c r="B158" s="44" t="n">
        <x:f>IF(COUNT(C158:D158)=2,SUM(C158:D158),"")</x:f>
        <x:v>258877</x:v>
      </x:c>
      <x:c r="C158" s="44" t="n">
        <x:v>243860</x:v>
      </x:c>
      <x:c r="D158" s="44" t="n">
        <x:v>15017</x:v>
      </x:c>
      <x:c r="E158" s="44" t="n">
        <x:v>22476</x:v>
      </x:c>
      <x:c r="F158" s="44" t="n">
        <x:v>2750</x:v>
      </x:c>
      <x:c r="G158" s="44" t="n">
        <x:v>2226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43" t="n">
        <x:v>45991</x:v>
      </x:c>
      <x:c r="B159" s="44" t="n">
        <x:f>IF(COUNT(C159:D159)=2,SUM(C159:D159),"")</x:f>
        <x:v>196214</x:v>
      </x:c>
      <x:c r="C159" s="44" t="n">
        <x:v>185536</x:v>
      </x:c>
      <x:c r="D159" s="44" t="n">
        <x:v>10678</x:v>
      </x:c>
      <x:c r="E159" s="44" t="n">
        <x:v>22476</x:v>
      </x:c>
      <x:c r="F159" s="44" t="n">
        <x:v>2750</x:v>
      </x:c>
      <x:c r="G159" s="44" t="n">
        <x:v>2004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43" t="n">
        <x:v>45992</x:v>
      </x:c>
      <x:c r="B160" s="44" t="n">
        <x:f>IF(COUNT(C160:D160)=2,SUM(C160:D160),"")</x:f>
        <x:v>237794</x:v>
      </x:c>
      <x:c r="C160" s="44" t="n">
        <x:v>227649</x:v>
      </x:c>
      <x:c r="D160" s="44" t="n">
        <x:v>10145</x:v>
      </x:c>
      <x:c r="E160" s="44" t="n">
        <x:v>22476</x:v>
      </x:c>
      <x:c r="F160" s="44" t="n">
        <x:v>2750</x:v>
      </x:c>
      <x:c r="G160" s="44" t="n">
        <x:v>1171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43" t="n">
        <x:v>45993</x:v>
      </x:c>
      <x:c r="B161" s="44" t="n">
        <x:f>IF(COUNT(C161:D161)=2,SUM(C161:D161),"")</x:f>
        <x:v>285646</x:v>
      </x:c>
      <x:c r="C161" s="44" t="n">
        <x:v>272349</x:v>
      </x:c>
      <x:c r="D161" s="44" t="n">
        <x:v>13297</x:v>
      </x:c>
      <x:c r="E161" s="44" t="n">
        <x:v>22476</x:v>
      </x:c>
      <x:c r="F161" s="44" t="n">
        <x:v>2750</x:v>
      </x:c>
      <x:c r="G161" s="44" t="n">
        <x:v>1438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43" t="n">
        <x:v>45994</x:v>
      </x:c>
      <x:c r="B162" s="44" t="n">
        <x:f>IF(COUNT(C162:D162)=2,SUM(C162:D162),"")</x:f>
        <x:v>225992</x:v>
      </x:c>
      <x:c r="C162" s="44" t="n">
        <x:v>215896</x:v>
      </x:c>
      <x:c r="D162" s="44" t="n">
        <x:v>10096</x:v>
      </x:c>
      <x:c r="E162" s="44" t="n">
        <x:v>22476</x:v>
      </x:c>
      <x:c r="F162" s="44" t="n">
        <x:v>2750</x:v>
      </x:c>
      <x:c r="G162" s="44" t="n">
        <x:v>1000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43" t="n">
        <x:v>45995</x:v>
      </x:c>
      <x:c r="B163" s="44" t="n">
        <x:f>IF(COUNT(C163:D163)=2,SUM(C163:D163),"")</x:f>
        <x:v>277385</x:v>
      </x:c>
      <x:c r="C163" s="44" t="n">
        <x:v>262721</x:v>
      </x:c>
      <x:c r="D163" s="44" t="n">
        <x:v>14664</x:v>
      </x:c>
      <x:c r="E163" s="44" t="n">
        <x:v>22476</x:v>
      </x:c>
      <x:c r="F163" s="44" t="n">
        <x:v>2750</x:v>
      </x:c>
      <x:c r="G163" s="44" t="n">
        <x:v>1471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43" t="n">
        <x:v>45996</x:v>
      </x:c>
      <x:c r="B164" s="44" t="n">
        <x:f>IF(COUNT(C164:D164)=2,SUM(C164:D164),"")</x:f>
        <x:v>272068</x:v>
      </x:c>
      <x:c r="C164" s="44" t="n">
        <x:v>257481</x:v>
      </x:c>
      <x:c r="D164" s="44" t="n">
        <x:v>14587</x:v>
      </x:c>
      <x:c r="E164" s="44" t="n">
        <x:v>22476</x:v>
      </x:c>
      <x:c r="F164" s="44" t="n">
        <x:v>2750</x:v>
      </x:c>
      <x:c r="G164" s="44" t="n">
        <x:v>1499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43" t="n">
        <x:v>45997</x:v>
      </x:c>
      <x:c r="B165" s="44" t="n">
        <x:f>IF(COUNT(C165:D165)=2,SUM(C165:D165),"")</x:f>
        <x:v>257948</x:v>
      </x:c>
      <x:c r="C165" s="44" t="n">
        <x:v>242491</x:v>
      </x:c>
      <x:c r="D165" s="44" t="n">
        <x:v>15457</x:v>
      </x:c>
      <x:c r="E165" s="44" t="n">
        <x:v>22476</x:v>
      </x:c>
      <x:c r="F165" s="44" t="n">
        <x:v>2750</x:v>
      </x:c>
      <x:c r="G165" s="44" t="n">
        <x:v>1629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43" t="n">
        <x:v>45998</x:v>
      </x:c>
      <x:c r="B166" s="44" t="n">
        <x:f>IF(COUNT(C166:D166)=2,SUM(C166:D166),"")</x:f>
        <x:v>242030</x:v>
      </x:c>
      <x:c r="C166" s="44" t="n">
        <x:v>227632</x:v>
      </x:c>
      <x:c r="D166" s="44" t="n">
        <x:v>14398</x:v>
      </x:c>
      <x:c r="E166" s="44" t="n">
        <x:v>22476</x:v>
      </x:c>
      <x:c r="F166" s="44" t="n">
        <x:v>2750</x:v>
      </x:c>
      <x:c r="G166" s="44" t="n">
        <x:v>1515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43" t="n">
        <x:v>45999</x:v>
      </x:c>
      <x:c r="B167" s="44" t="n">
        <x:f>IF(COUNT(C167:D167)=2,SUM(C167:D167),"")</x:f>
        <x:v>214677</x:v>
      </x:c>
      <x:c r="C167" s="44" t="n">
        <x:v>204796</x:v>
      </x:c>
      <x:c r="D167" s="44" t="n">
        <x:v>9881</x:v>
      </x:c>
      <x:c r="E167" s="44" t="n">
        <x:v>22476</x:v>
      </x:c>
      <x:c r="F167" s="44" t="n">
        <x:v>2750</x:v>
      </x:c>
      <x:c r="G167" s="44" t="n">
        <x:v>1170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43" t="n">
        <x:v>46000</x:v>
      </x:c>
      <x:c r="B168" s="44" t="n">
        <x:f>IF(COUNT(C168:D168)=2,SUM(C168:D168),"")</x:f>
        <x:v>216580</x:v>
      </x:c>
      <x:c r="C168" s="44" t="n">
        <x:v>206594</x:v>
      </x:c>
      <x:c r="D168" s="44" t="n">
        <x:v>9986</x:v>
      </x:c>
      <x:c r="E168" s="44" t="n">
        <x:v>22476</x:v>
      </x:c>
      <x:c r="F168" s="44" t="n">
        <x:v>2750</x:v>
      </x:c>
      <x:c r="G168" s="44" t="n">
        <x:v>1069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43" t="n">
        <x:v>46001</x:v>
      </x:c>
      <x:c r="B169" s="44" t="n">
        <x:f>IF(COUNT(C169:D169)=2,SUM(C169:D169),"")</x:f>
        <x:v>293084</x:v>
      </x:c>
      <x:c r="C169" s="44" t="n">
        <x:v>277744</x:v>
      </x:c>
      <x:c r="D169" s="44" t="n">
        <x:v>15340</x:v>
      </x:c>
      <x:c r="E169" s="44" t="n">
        <x:v>22476</x:v>
      </x:c>
      <x:c r="F169" s="44" t="n">
        <x:v>2750</x:v>
      </x:c>
      <x:c r="G169" s="44" t="n">
        <x:v>1707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43" t="n">
        <x:v>46002</x:v>
      </x:c>
      <x:c r="B170" s="44" t="n">
        <x:f>IF(COUNT(C170:D170)=2,SUM(C170:D170),"")</x:f>
        <x:v>291192</x:v>
      </x:c>
      <x:c r="C170" s="44" t="n">
        <x:v>275645</x:v>
      </x:c>
      <x:c r="D170" s="44" t="n">
        <x:v>15547</x:v>
      </x:c>
      <x:c r="E170" s="44" t="n">
        <x:v>22476</x:v>
      </x:c>
      <x:c r="F170" s="44" t="n">
        <x:v>2750</x:v>
      </x:c>
      <x:c r="G170" s="44" t="n">
        <x:v>1587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43" t="n">
        <x:v>46003</x:v>
      </x:c>
      <x:c r="B171" s="44" t="n">
        <x:f>IF(COUNT(C171:D171)=2,SUM(C171:D171),"")</x:f>
        <x:v>186055</x:v>
      </x:c>
      <x:c r="C171" s="44" t="n">
        <x:v>176433</x:v>
      </x:c>
      <x:c r="D171" s="44" t="n">
        <x:v>9622</x:v>
      </x:c>
      <x:c r="E171" s="44" t="n">
        <x:v>22476</x:v>
      </x:c>
      <x:c r="F171" s="44" t="n">
        <x:v>2750</x:v>
      </x:c>
      <x:c r="G171" s="44" t="n">
        <x:v>1006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43" t="n">
        <x:v>46004</x:v>
      </x:c>
      <x:c r="B172" s="44" t="n">
        <x:f>IF(COUNT(C172:D172)=2,SUM(C172:D172),"")</x:f>
        <x:v>150876</x:v>
      </x:c>
      <x:c r="C172" s="44" t="n">
        <x:v>143161</x:v>
      </x:c>
      <x:c r="D172" s="44" t="n">
        <x:v>7715</x:v>
      </x:c>
      <x:c r="E172" s="44" t="n">
        <x:v>22476</x:v>
      </x:c>
      <x:c r="F172" s="44" t="n">
        <x:v>2750</x:v>
      </x:c>
      <x:c r="G172" s="44" t="n">
        <x:v>859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43" t="n">
        <x:v>46005</x:v>
      </x:c>
      <x:c r="B173" s="44" t="n">
        <x:f>IF(COUNT(C173:D173)=2,SUM(C173:D173),"")</x:f>
        <x:v>206220</x:v>
      </x:c>
      <x:c r="C173" s="44" t="n">
        <x:v>195030</x:v>
      </x:c>
      <x:c r="D173" s="44" t="n">
        <x:v>11190</x:v>
      </x:c>
      <x:c r="E173" s="44" t="n">
        <x:v>22476</x:v>
      </x:c>
      <x:c r="F173" s="44" t="n">
        <x:v>2750</x:v>
      </x:c>
      <x:c r="G173" s="44" t="n">
        <x:v>1315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43" t="n">
        <x:v>46006</x:v>
      </x:c>
      <x:c r="B174" s="44" t="n">
        <x:f>IF(COUNT(C174:D174)=2,SUM(C174:D174),"")</x:f>
        <x:v>268028</x:v>
      </x:c>
      <x:c r="C174" s="44" t="n">
        <x:v>254783</x:v>
      </x:c>
      <x:c r="D174" s="44" t="n">
        <x:v>13245</x:v>
      </x:c>
      <x:c r="E174" s="44" t="n">
        <x:v>22476</x:v>
      </x:c>
      <x:c r="F174" s="44" t="n">
        <x:v>2750</x:v>
      </x:c>
      <x:c r="G174" s="44" t="n">
        <x:v>1389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43" t="n">
        <x:v>46007</x:v>
      </x:c>
      <x:c r="B175" s="44" t="n">
        <x:f>IF(COUNT(C175:D175)=2,SUM(C175:D175),"")</x:f>
        <x:v>285212</x:v>
      </x:c>
      <x:c r="C175" s="44" t="n">
        <x:v>270334</x:v>
      </x:c>
      <x:c r="D175" s="44" t="n">
        <x:v>14878</x:v>
      </x:c>
      <x:c r="E175" s="44" t="n">
        <x:v>22476</x:v>
      </x:c>
      <x:c r="F175" s="44" t="n">
        <x:v>2750</x:v>
      </x:c>
      <x:c r="G175" s="44" t="n">
        <x:v>1570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43" t="n">
        <x:v>46008</x:v>
      </x:c>
      <x:c r="B176" s="44" t="n">
        <x:f>IF(COUNT(C176:D176)=2,SUM(C176:D176),"")</x:f>
        <x:v>285386</x:v>
      </x:c>
      <x:c r="C176" s="44" t="n">
        <x:v>270208</x:v>
      </x:c>
      <x:c r="D176" s="44" t="n">
        <x:v>15178</x:v>
      </x:c>
      <x:c r="E176" s="44" t="n">
        <x:v>22476</x:v>
      </x:c>
      <x:c r="F176" s="44" t="n">
        <x:v>2750</x:v>
      </x:c>
      <x:c r="G176" s="44" t="n">
        <x:v>1679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43" t="n">
        <x:v>46009</x:v>
      </x:c>
      <x:c r="B177" s="44" t="n">
        <x:f>IF(COUNT(C177:D177)=2,SUM(C177:D177),"")</x:f>
        <x:v>281460</x:v>
      </x:c>
      <x:c r="C177" s="44" t="n">
        <x:v>266892</x:v>
      </x:c>
      <x:c r="D177" s="44" t="n">
        <x:v>14568</x:v>
      </x:c>
      <x:c r="E177" s="44" t="n">
        <x:v>22476</x:v>
      </x:c>
      <x:c r="F177" s="44" t="n">
        <x:v>2750</x:v>
      </x:c>
      <x:c r="G177" s="44" t="n">
        <x:v>1559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43" t="n">
        <x:v>46010</x:v>
      </x:c>
      <x:c r="B178" s="44" t="n">
        <x:f>IF(COUNT(C178:D178)=2,SUM(C178:D178),"")</x:f>
        <x:v>290633</x:v>
      </x:c>
      <x:c r="C178" s="44" t="n">
        <x:v>275295</x:v>
      </x:c>
      <x:c r="D178" s="44" t="n">
        <x:v>15338</x:v>
      </x:c>
      <x:c r="E178" s="44" t="n">
        <x:v>22476</x:v>
      </x:c>
      <x:c r="F178" s="44" t="n">
        <x:v>2750</x:v>
      </x:c>
      <x:c r="G178" s="44" t="n">
        <x:v>1530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43" t="n">
        <x:v>46011</x:v>
      </x:c>
      <x:c r="B179" s="44" t="n">
        <x:f>IF(COUNT(C179:D179)=2,SUM(C179:D179),"")</x:f>
        <x:v>255885</x:v>
      </x:c>
      <x:c r="C179" s="44" t="n">
        <x:v>241631</x:v>
      </x:c>
      <x:c r="D179" s="44" t="n">
        <x:v>14254</x:v>
      </x:c>
      <x:c r="E179" s="44" t="n">
        <x:v>22476</x:v>
      </x:c>
      <x:c r="F179" s="44" t="n">
        <x:v>2750</x:v>
      </x:c>
      <x:c r="G179" s="44" t="n">
        <x:v>1625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43" t="n">
        <x:v>46012</x:v>
      </x:c>
      <x:c r="B180" s="44" t="n">
        <x:f>IF(COUNT(C180:D180)=2,SUM(C180:D180),"")</x:f>
        <x:v>205278</x:v>
      </x:c>
      <x:c r="C180" s="44" t="n">
        <x:v>193781</x:v>
      </x:c>
      <x:c r="D180" s="44" t="n">
        <x:v>11497</x:v>
      </x:c>
      <x:c r="E180" s="44" t="n">
        <x:v>22476</x:v>
      </x:c>
      <x:c r="F180" s="44" t="n">
        <x:v>2750</x:v>
      </x:c>
      <x:c r="G180" s="44" t="n">
        <x:v>1277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43" t="n">
        <x:v>46013</x:v>
      </x:c>
      <x:c r="B181" s="44" t="n">
        <x:f>IF(COUNT(C181:D181)=2,SUM(C181:D181),"")</x:f>
        <x:v>264930</x:v>
      </x:c>
      <x:c r="C181" s="44" t="n">
        <x:v>251759</x:v>
      </x:c>
      <x:c r="D181" s="44" t="n">
        <x:v>13171</x:v>
      </x:c>
      <x:c r="E181" s="44" t="n">
        <x:v>22476</x:v>
      </x:c>
      <x:c r="F181" s="44" t="n">
        <x:v>2750</x:v>
      </x:c>
      <x:c r="G181" s="44" t="n">
        <x:v>1544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43" t="n">
        <x:v>46014</x:v>
      </x:c>
      <x:c r="B182" s="44" t="n">
        <x:f>IF(COUNT(C182:D182)=2,SUM(C182:D182),"")</x:f>
        <x:v>288788</x:v>
      </x:c>
      <x:c r="C182" s="44" t="n">
        <x:v>273501</x:v>
      </x:c>
      <x:c r="D182" s="44" t="n">
        <x:v>15287</x:v>
      </x:c>
      <x:c r="E182" s="44" t="n">
        <x:v>22476</x:v>
      </x:c>
      <x:c r="F182" s="44" t="n">
        <x:v>2750</x:v>
      </x:c>
      <x:c r="G182" s="44" t="n">
        <x:v>1859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43" t="n">
        <x:v>46015</x:v>
      </x:c>
      <x:c r="B183" s="44" t="n">
        <x:f>IF(COUNT(C183:D183)=2,SUM(C183:D183),"")</x:f>
        <x:v>290700</x:v>
      </x:c>
      <x:c r="C183" s="44" t="n">
        <x:v>274245</x:v>
      </x:c>
      <x:c r="D183" s="44" t="n">
        <x:v>16455</x:v>
      </x:c>
      <x:c r="E183" s="44" t="n">
        <x:v>22476</x:v>
      </x:c>
      <x:c r="F183" s="44" t="n">
        <x:v>2750</x:v>
      </x:c>
      <x:c r="G183" s="44" t="n">
        <x:v>1940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43" t="n">
        <x:v>46016</x:v>
      </x:c>
      <x:c r="B184" s="44" t="n">
        <x:f>IF(COUNT(C184:D184)=2,SUM(C184:D184),"")</x:f>
        <x:v>117309</x:v>
      </x:c>
      <x:c r="C184" s="44" t="n">
        <x:v>110867</x:v>
      </x:c>
      <x:c r="D184" s="44" t="n">
        <x:v>6442</x:v>
      </x:c>
      <x:c r="E184" s="44" t="n">
        <x:v>22476</x:v>
      </x:c>
      <x:c r="F184" s="44" t="n">
        <x:v>2750</x:v>
      </x:c>
      <x:c r="G184" s="44" t="n">
        <x:v>821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43" t="n">
        <x:v>46017</x:v>
      </x:c>
      <x:c r="B185" s="44" t="n">
        <x:f>IF(COUNT(C185:D185)=2,SUM(C185:D185),"")</x:f>
        <x:v>146163</x:v>
      </x:c>
      <x:c r="C185" s="44" t="n">
        <x:v>138804</x:v>
      </x:c>
      <x:c r="D185" s="44" t="n">
        <x:v>7359</x:v>
      </x:c>
      <x:c r="E185" s="44" t="n">
        <x:v>22476</x:v>
      </x:c>
      <x:c r="F185" s="44" t="n">
        <x:v>2750</x:v>
      </x:c>
      <x:c r="G185" s="44" t="n">
        <x:v>915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43" t="n">
        <x:v>46018</x:v>
      </x:c>
      <x:c r="B186" s="44" t="n">
        <x:f>IF(COUNT(C186:D186)=2,SUM(C186:D186),"")</x:f>
        <x:v>147469</x:v>
      </x:c>
      <x:c r="C186" s="44" t="n">
        <x:v>139825</x:v>
      </x:c>
      <x:c r="D186" s="44" t="n">
        <x:v>7644</x:v>
      </x:c>
      <x:c r="E186" s="44" t="n">
        <x:v>22476</x:v>
      </x:c>
      <x:c r="F186" s="44" t="n">
        <x:v>2750</x:v>
      </x:c>
      <x:c r="G186" s="44" t="n">
        <x:v>1107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43" t="n">
        <x:v>46019</x:v>
      </x:c>
      <x:c r="B187" s="44" t="n">
        <x:f>IF(COUNT(C187:D187)=2,SUM(C187:D187),"")</x:f>
        <x:v>181650</x:v>
      </x:c>
      <x:c r="C187" s="44" t="n">
        <x:v>171703</x:v>
      </x:c>
      <x:c r="D187" s="44" t="n">
        <x:v>9947</x:v>
      </x:c>
      <x:c r="E187" s="44" t="n">
        <x:v>22476</x:v>
      </x:c>
      <x:c r="F187" s="44" t="n">
        <x:v>2750</x:v>
      </x:c>
      <x:c r="G187" s="44" t="n">
        <x:v>1574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43" t="n">
        <x:v>46020</x:v>
      </x:c>
      <x:c r="B188" s="44" t="n">
        <x:f>IF(COUNT(C188:D188)=2,SUM(C188:D188),"")</x:f>
        <x:v>269868</x:v>
      </x:c>
      <x:c r="C188" s="44" t="n">
        <x:v>255398</x:v>
      </x:c>
      <x:c r="D188" s="44" t="n">
        <x:v>14470</x:v>
      </x:c>
      <x:c r="E188" s="44" t="n">
        <x:v>22476</x:v>
      </x:c>
      <x:c r="F188" s="44" t="n">
        <x:v>2750</x:v>
      </x:c>
      <x:c r="G188" s="44" t="n">
        <x:v>2118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43" t="n">
        <x:v>46021</x:v>
      </x:c>
      <x:c r="B189" s="44" t="n">
        <x:f>IF(COUNT(C189:D189)=2,SUM(C189:D189),"")</x:f>
        <x:v>253128</x:v>
      </x:c>
      <x:c r="C189" s="44" t="n">
        <x:v>239698</x:v>
      </x:c>
      <x:c r="D189" s="44" t="n">
        <x:v>13430</x:v>
      </x:c>
      <x:c r="E189" s="44" t="n">
        <x:v>22476</x:v>
      </x:c>
      <x:c r="F189" s="44" t="n">
        <x:v>2750</x:v>
      </x:c>
      <x:c r="G189" s="44" t="n">
        <x:v>2036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43" t="n">
        <x:v>46022</x:v>
      </x:c>
      <x:c r="B190" s="44" t="n">
        <x:f>IF(COUNT(C190:D190)=2,SUM(C190:D190),"")</x:f>
        <x:v>119808</x:v>
      </x:c>
      <x:c r="C190" s="44" t="n">
        <x:v>113170</x:v>
      </x:c>
      <x:c r="D190" s="44" t="n">
        <x:v>6638</x:v>
      </x:c>
      <x:c r="E190" s="44" t="n">
        <x:v>22476</x:v>
      </x:c>
      <x:c r="F190" s="44" t="n">
        <x:v>2750</x:v>
      </x:c>
      <x:c r="G190" s="44" t="n">
        <x:v>1170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43" t="n">
        <x:v>46023</x:v>
      </x:c>
      <x:c r="B191" s="44" t="n">
        <x:f>IF(COUNT(C191:D191)=2,SUM(C191:D191),"")</x:f>
        <x:v>129428</x:v>
      </x:c>
      <x:c r="C191" s="44" t="n">
        <x:v>122228</x:v>
      </x:c>
      <x:c r="D191" s="44" t="n">
        <x:v>7200</x:v>
      </x:c>
      <x:c r="E191" s="44" t="n">
        <x:v>22560</x:v>
      </x:c>
      <x:c r="F191" s="44" t="n">
        <x:v>2750</x:v>
      </x:c>
      <x:c r="G191" s="44" t="n">
        <x:v>860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43" t="n">
        <x:v>46024</x:v>
      </x:c>
      <x:c r="B192" s="44" t="n">
        <x:f>IF(COUNT(C192:D192)=2,SUM(C192:D192),"")</x:f>
        <x:v>183729</x:v>
      </x:c>
      <x:c r="C192" s="44" t="n">
        <x:v>175241</x:v>
      </x:c>
      <x:c r="D192" s="44" t="n">
        <x:v>8488</x:v>
      </x:c>
      <x:c r="E192" s="44" t="n">
        <x:v>22560</x:v>
      </x:c>
      <x:c r="F192" s="44" t="n">
        <x:v>2750</x:v>
      </x:c>
      <x:c r="G192" s="44" t="n">
        <x:v>873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43" t="n">
        <x:v>46025</x:v>
      </x:c>
      <x:c r="B193" s="44" t="n">
        <x:f>IF(COUNT(C193:D193)=2,SUM(C193:D193),"")</x:f>
        <x:v>204837</x:v>
      </x:c>
      <x:c r="C193" s="44" t="n">
        <x:v>193487</x:v>
      </x:c>
      <x:c r="D193" s="44" t="n">
        <x:v>11350</x:v>
      </x:c>
      <x:c r="E193" s="44" t="n">
        <x:v>22560</x:v>
      </x:c>
      <x:c r="F193" s="44" t="n">
        <x:v>2750</x:v>
      </x:c>
      <x:c r="G193" s="44" t="n">
        <x:v>1450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43" t="n">
        <x:v>46026</x:v>
      </x:c>
      <x:c r="B194" s="44" t="n">
        <x:f>IF(COUNT(C194:D194)=2,SUM(C194:D194),"")</x:f>
        <x:v>211054</x:v>
      </x:c>
      <x:c r="C194" s="44" t="n">
        <x:v>199044</x:v>
      </x:c>
      <x:c r="D194" s="44" t="n">
        <x:v>12010</x:v>
      </x:c>
      <x:c r="E194" s="44" t="n">
        <x:v>22560</x:v>
      </x:c>
      <x:c r="F194" s="44" t="n">
        <x:v>2750</x:v>
      </x:c>
      <x:c r="G194" s="44" t="n">
        <x:v>1444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43" t="n">
        <x:v>46027</x:v>
      </x:c>
      <x:c r="B195" s="44" t="n">
        <x:f>IF(COUNT(C195:D195)=2,SUM(C195:D195),"")</x:f>
        <x:v>243880</x:v>
      </x:c>
      <x:c r="C195" s="44" t="n">
        <x:v>231922</x:v>
      </x:c>
      <x:c r="D195" s="44" t="n">
        <x:v>11958</x:v>
      </x:c>
      <x:c r="E195" s="44" t="n">
        <x:v>22560</x:v>
      </x:c>
      <x:c r="F195" s="44" t="n">
        <x:v>2750</x:v>
      </x:c>
      <x:c r="G195" s="44" t="n">
        <x:v>1365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43" t="n">
        <x:v>46028</x:v>
      </x:c>
      <x:c r="B196" s="44" t="n">
        <x:f>IF(COUNT(C196:D196)=2,SUM(C196:D196),"")</x:f>
        <x:v>186795</x:v>
      </x:c>
      <x:c r="C196" s="44" t="n">
        <x:v>177845</x:v>
      </x:c>
      <x:c r="D196" s="44" t="n">
        <x:v>8950</x:v>
      </x:c>
      <x:c r="E196" s="44" t="n">
        <x:v>22560</x:v>
      </x:c>
      <x:c r="F196" s="44" t="n">
        <x:v>2750</x:v>
      </x:c>
      <x:c r="G196" s="44" t="n">
        <x:v>1014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43" t="n">
        <x:v>46029</x:v>
      </x:c>
      <x:c r="B197" s="44" t="n">
        <x:f>IF(COUNT(C197:D197)=2,SUM(C197:D197),"")</x:f>
        <x:v>232076</x:v>
      </x:c>
      <x:c r="C197" s="44" t="n">
        <x:v>220742</x:v>
      </x:c>
      <x:c r="D197" s="44" t="n">
        <x:v>11334</x:v>
      </x:c>
      <x:c r="E197" s="44" t="n">
        <x:v>22560</x:v>
      </x:c>
      <x:c r="F197" s="44" t="n">
        <x:v>2750</x:v>
      </x:c>
      <x:c r="G197" s="44" t="n">
        <x:v>1169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43" t="n">
        <x:v>46030</x:v>
      </x:c>
      <x:c r="B198" s="44" t="n">
        <x:f>IF(COUNT(C198:D198)=2,SUM(C198:D198),"")</x:f>
        <x:v>235337</x:v>
      </x:c>
      <x:c r="C198" s="44" t="n">
        <x:v>223862</x:v>
      </x:c>
      <x:c r="D198" s="44" t="n">
        <x:v>11475</x:v>
      </x:c>
      <x:c r="E198" s="44" t="n">
        <x:v>22560</x:v>
      </x:c>
      <x:c r="F198" s="44" t="n">
        <x:v>2750</x:v>
      </x:c>
      <x:c r="G198" s="44" t="n">
        <x:v>1205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43" t="n">
        <x:v>46031</x:v>
      </x:c>
      <x:c r="B199" s="44" t="n">
        <x:f>IF(COUNT(C199:D199)=2,SUM(C199:D199),"")</x:f>
        <x:v>257661</x:v>
      </x:c>
      <x:c r="C199" s="44" t="n">
        <x:v>243793</x:v>
      </x:c>
      <x:c r="D199" s="44" t="n">
        <x:v>13868</x:v>
      </x:c>
      <x:c r="E199" s="44" t="n">
        <x:v>22560</x:v>
      </x:c>
      <x:c r="F199" s="44" t="n">
        <x:v>2750</x:v>
      </x:c>
      <x:c r="G199" s="44" t="n">
        <x:v>1439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43" t="n">
        <x:v>46032</x:v>
      </x:c>
      <x:c r="B200" s="44" t="n">
        <x:f>IF(COUNT(C200:D200)=2,SUM(C200:D200),"")</x:f>
        <x:v>217031</x:v>
      </x:c>
      <x:c r="C200" s="44" t="n">
        <x:v>204550</x:v>
      </x:c>
      <x:c r="D200" s="44" t="n">
        <x:v>12481</x:v>
      </x:c>
      <x:c r="E200" s="44" t="n">
        <x:v>22560</x:v>
      </x:c>
      <x:c r="F200" s="44" t="n">
        <x:v>2750</x:v>
      </x:c>
      <x:c r="G200" s="44" t="n">
        <x:v>1423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43" t="n">
        <x:v>46033</x:v>
      </x:c>
      <x:c r="B201" s="44" t="n">
        <x:f>IF(COUNT(C201:D201)=2,SUM(C201:D201),"")</x:f>
        <x:v>188317</x:v>
      </x:c>
      <x:c r="C201" s="44" t="n">
        <x:v>177417</x:v>
      </x:c>
      <x:c r="D201" s="44" t="n">
        <x:v>10900</x:v>
      </x:c>
      <x:c r="E201" s="44" t="n">
        <x:v>22560</x:v>
      </x:c>
      <x:c r="F201" s="44" t="n">
        <x:v>2750</x:v>
      </x:c>
      <x:c r="G201" s="44" t="n">
        <x:v>1190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43" t="n">
        <x:v>46034</x:v>
      </x:c>
      <x:c r="B202" s="44" t="n">
        <x:f>IF(COUNT(C202:D202)=2,SUM(C202:D202),"")</x:f>
        <x:v>232279</x:v>
      </x:c>
      <x:c r="C202" s="44" t="n">
        <x:v>220767</x:v>
      </x:c>
      <x:c r="D202" s="44" t="n">
        <x:v>11512</x:v>
      </x:c>
      <x:c r="E202" s="44" t="n">
        <x:v>22560</x:v>
      </x:c>
      <x:c r="F202" s="44" t="n">
        <x:v>2750</x:v>
      </x:c>
      <x:c r="G202" s="44" t="n">
        <x:v>1235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43" t="n">
        <x:v>46035</x:v>
      </x:c>
      <x:c r="B203" s="44" t="n">
        <x:f>IF(COUNT(C203:D203)=2,SUM(C203:D203),"")</x:f>
        <x:v>259518</x:v>
      </x:c>
      <x:c r="C203" s="44" t="n">
        <x:v>246590</x:v>
      </x:c>
      <x:c r="D203" s="44" t="n">
        <x:v>12928</x:v>
      </x:c>
      <x:c r="E203" s="44" t="n">
        <x:v>22560</x:v>
      </x:c>
      <x:c r="F203" s="44" t="n">
        <x:v>2750</x:v>
      </x:c>
      <x:c r="G203" s="44" t="n">
        <x:v>1516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43" t="n">
        <x:v>46036</x:v>
      </x:c>
      <x:c r="B204" s="44" t="n">
        <x:f>IF(COUNT(C204:D204)=2,SUM(C204:D204),"")</x:f>
        <x:v>265849</x:v>
      </x:c>
      <x:c r="C204" s="44" t="n">
        <x:v>251792</x:v>
      </x:c>
      <x:c r="D204" s="44" t="n">
        <x:v>14057</x:v>
      </x:c>
      <x:c r="E204" s="44" t="n">
        <x:v>22560</x:v>
      </x:c>
      <x:c r="F204" s="44" t="n">
        <x:v>2750</x:v>
      </x:c>
      <x:c r="G204" s="44" t="n">
        <x:v>1606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43" t="n">
        <x:v>46037</x:v>
      </x:c>
      <x:c r="B205" s="44" t="n">
        <x:f>IF(COUNT(C205:D205)=2,SUM(C205:D205),"")</x:f>
        <x:v>266635</x:v>
      </x:c>
      <x:c r="C205" s="44" t="n">
        <x:v>252362</x:v>
      </x:c>
      <x:c r="D205" s="44" t="n">
        <x:v>14273</x:v>
      </x:c>
      <x:c r="E205" s="44" t="n">
        <x:v>22560</x:v>
      </x:c>
      <x:c r="F205" s="44" t="n">
        <x:v>2750</x:v>
      </x:c>
      <x:c r="G205" s="44" t="n">
        <x:v>1534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43" t="n">
        <x:v>46038</x:v>
      </x:c>
      <x:c r="B206" s="44" t="n">
        <x:f>IF(COUNT(C206:D206)=2,SUM(C206:D206),"")</x:f>
        <x:v>270425</x:v>
      </x:c>
      <x:c r="C206" s="44" t="n">
        <x:v>255663</x:v>
      </x:c>
      <x:c r="D206" s="44" t="n">
        <x:v>14762</x:v>
      </x:c>
      <x:c r="E206" s="44" t="n">
        <x:v>22560</x:v>
      </x:c>
      <x:c r="F206" s="44" t="n">
        <x:v>2750</x:v>
      </x:c>
      <x:c r="G206" s="44" t="n">
        <x:v>1462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43" t="n">
        <x:v>46039</x:v>
      </x:c>
      <x:c r="B207" s="44" t="n">
        <x:f>IF(COUNT(C207:D207)=2,SUM(C207:D207),"")</x:f>
        <x:v>231642</x:v>
      </x:c>
      <x:c r="C207" s="44" t="n">
        <x:v>217607</x:v>
      </x:c>
      <x:c r="D207" s="44" t="n">
        <x:v>14035</x:v>
      </x:c>
      <x:c r="E207" s="44" t="n">
        <x:v>22560</x:v>
      </x:c>
      <x:c r="F207" s="44" t="n">
        <x:v>2750</x:v>
      </x:c>
      <x:c r="G207" s="44" t="n">
        <x:v>1583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43" t="n">
        <x:v>46040</x:v>
      </x:c>
      <x:c r="B208" s="44" t="n">
        <x:f>IF(COUNT(C208:D208)=2,SUM(C208:D208),"")</x:f>
        <x:v>214202</x:v>
      </x:c>
      <x:c r="C208" s="44" t="n">
        <x:v>201378</x:v>
      </x:c>
      <x:c r="D208" s="44" t="n">
        <x:v>12824</x:v>
      </x:c>
      <x:c r="E208" s="44" t="n">
        <x:v>22560</x:v>
      </x:c>
      <x:c r="F208" s="44" t="n">
        <x:v>2750</x:v>
      </x:c>
      <x:c r="G208" s="44" t="n">
        <x:v>1521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43" t="n">
        <x:v>46041</x:v>
      </x:c>
      <x:c r="B209" s="44" t="n">
        <x:f>IF(COUNT(C209:D209)=2,SUM(C209:D209),"")</x:f>
        <x:v>205459</x:v>
      </x:c>
      <x:c r="C209" s="44" t="n">
        <x:v>194908</x:v>
      </x:c>
      <x:c r="D209" s="44" t="n">
        <x:v>10551</x:v>
      </x:c>
      <x:c r="E209" s="44" t="n">
        <x:v>22560</x:v>
      </x:c>
      <x:c r="F209" s="44" t="n">
        <x:v>2750</x:v>
      </x:c>
      <x:c r="G209" s="44" t="n">
        <x:v>1302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43" t="n">
        <x:v>46042</x:v>
      </x:c>
      <x:c r="B210" s="44" t="n">
        <x:f>IF(COUNT(C210:D210)=2,SUM(C210:D210),"")</x:f>
        <x:v>223174</x:v>
      </x:c>
      <x:c r="C210" s="44" t="n">
        <x:v>212114</x:v>
      </x:c>
      <x:c r="D210" s="44" t="n">
        <x:v>11060</x:v>
      </x:c>
      <x:c r="E210" s="44" t="n">
        <x:v>22560</x:v>
      </x:c>
      <x:c r="F210" s="44" t="n">
        <x:v>2750</x:v>
      </x:c>
      <x:c r="G210" s="44" t="n">
        <x:v>1216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43" t="n">
        <x:v>46043</x:v>
      </x:c>
      <x:c r="B211" s="44" t="n">
        <x:f>IF(COUNT(C211:D211)=2,SUM(C211:D211),"")</x:f>
        <x:v>197756</x:v>
      </x:c>
      <x:c r="C211" s="44" t="n">
        <x:v>188235</x:v>
      </x:c>
      <x:c r="D211" s="44" t="n">
        <x:v>9521</x:v>
      </x:c>
      <x:c r="E211" s="44" t="n">
        <x:v>22560</x:v>
      </x:c>
      <x:c r="F211" s="44" t="n">
        <x:v>2750</x:v>
      </x:c>
      <x:c r="G211" s="44" t="n">
        <x:v>1033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43" t="n">
        <x:v>46044</x:v>
      </x:c>
      <x:c r="B212" s="44" t="n">
        <x:f>IF(COUNT(C212:D212)=2,SUM(C212:D212),"")</x:f>
        <x:v>116919</x:v>
      </x:c>
      <x:c r="C212" s="44" t="n">
        <x:v>111316</x:v>
      </x:c>
      <x:c r="D212" s="44" t="n">
        <x:v>5603</x:v>
      </x:c>
      <x:c r="E212" s="44" t="n">
        <x:v>22560</x:v>
      </x:c>
      <x:c r="F212" s="44" t="n">
        <x:v>2750</x:v>
      </x:c>
      <x:c r="G212" s="44" t="n">
        <x:v>689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43" t="n">
        <x:v>46045</x:v>
      </x:c>
      <x:c r="B213" s="44" t="n">
        <x:f>IF(COUNT(C213:D213)=2,SUM(C213:D213),"")</x:f>
        <x:v>247364</x:v>
      </x:c>
      <x:c r="C213" s="44" t="n">
        <x:v>234257</x:v>
      </x:c>
      <x:c r="D213" s="44" t="n">
        <x:v>13107</x:v>
      </x:c>
      <x:c r="E213" s="44" t="n">
        <x:v>22630</x:v>
      </x:c>
      <x:c r="F213" s="44" t="n">
        <x:v>2750</x:v>
      </x:c>
      <x:c r="G213" s="44" t="n">
        <x:v>1555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43" t="n">
        <x:v>46046</x:v>
      </x:c>
      <x:c r="B214" s="44" t="n">
        <x:f>IF(COUNT(C214:D214)=2,SUM(C214:D214),"")</x:f>
        <x:v>177256</x:v>
      </x:c>
      <x:c r="C214" s="44" t="n">
        <x:v>167189</x:v>
      </x:c>
      <x:c r="D214" s="44" t="n">
        <x:v>10067</x:v>
      </x:c>
      <x:c r="E214" s="44" t="n">
        <x:v>22630</x:v>
      </x:c>
      <x:c r="F214" s="44" t="n">
        <x:v>2750</x:v>
      </x:c>
      <x:c r="G214" s="44" t="n">
        <x:v>1205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43" t="n">
        <x:v>46047</x:v>
      </x:c>
      <x:c r="B215" s="44" t="n">
        <x:f>IF(COUNT(C215:D215)=2,SUM(C215:D215),"")</x:f>
        <x:v>219806</x:v>
      </x:c>
      <x:c r="C215" s="44" t="n">
        <x:v>206311</x:v>
      </x:c>
      <x:c r="D215" s="44" t="n">
        <x:v>13495</x:v>
      </x:c>
      <x:c r="E215" s="44" t="n">
        <x:v>22630</x:v>
      </x:c>
      <x:c r="F215" s="44" t="n">
        <x:v>2750</x:v>
      </x:c>
      <x:c r="G215" s="44" t="n">
        <x:v>1775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43" t="n">
        <x:v>46048</x:v>
      </x:c>
      <x:c r="B216" s="44" t="n">
        <x:f>IF(COUNT(C216:D216)=2,SUM(C216:D216),"")</x:f>
        <x:v>258472</x:v>
      </x:c>
      <x:c r="C216" s="44" t="n">
        <x:v>244770</x:v>
      </x:c>
      <x:c r="D216" s="44" t="n">
        <x:v>13702</x:v>
      </x:c>
      <x:c r="E216" s="44" t="n">
        <x:v>22630</x:v>
      </x:c>
      <x:c r="F216" s="44" t="n">
        <x:v>2750</x:v>
      </x:c>
      <x:c r="G216" s="44" t="n">
        <x:v>1776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43" t="n">
        <x:v>46049</x:v>
      </x:c>
      <x:c r="B217" s="44" t="n">
        <x:f>IF(COUNT(C217:D217)=2,SUM(C217:D217),"")</x:f>
        <x:v>187964</x:v>
      </x:c>
      <x:c r="C217" s="44" t="n">
        <x:v>178128</x:v>
      </x:c>
      <x:c r="D217" s="44" t="n">
        <x:v>9836</x:v>
      </x:c>
      <x:c r="E217" s="44" t="n">
        <x:v>22630</x:v>
      </x:c>
      <x:c r="F217" s="44" t="n">
        <x:v>2750</x:v>
      </x:c>
      <x:c r="G217" s="44" t="n">
        <x:v>1438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43" t="n">
        <x:v>46050</x:v>
      </x:c>
      <x:c r="B218" s="44" t="n">
        <x:f>IF(COUNT(C218:D218)=2,SUM(C218:D218),"")</x:f>
        <x:v>244374</x:v>
      </x:c>
      <x:c r="C218" s="44" t="n">
        <x:v>231995</x:v>
      </x:c>
      <x:c r="D218" s="44" t="n">
        <x:v>12379</x:v>
      </x:c>
      <x:c r="E218" s="44" t="n">
        <x:v>22630</x:v>
      </x:c>
      <x:c r="F218" s="44" t="n">
        <x:v>2750</x:v>
      </x:c>
      <x:c r="G218" s="44" t="n">
        <x:v>1662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43" t="n">
        <x:v>46051</x:v>
      </x:c>
      <x:c r="B219" s="44" t="n">
        <x:f>IF(COUNT(C219:D219)=2,SUM(C219:D219),"")</x:f>
        <x:v>269254</x:v>
      </x:c>
      <x:c r="C219" s="44" t="n">
        <x:v>254620</x:v>
      </x:c>
      <x:c r="D219" s="44" t="n">
        <x:v>14634</x:v>
      </x:c>
      <x:c r="E219" s="44" t="n">
        <x:v>22630</x:v>
      </x:c>
      <x:c r="F219" s="44" t="n">
        <x:v>2750</x:v>
      </x:c>
      <x:c r="G219" s="44" t="n">
        <x:v>2102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43" t="n">
        <x:v>46052</x:v>
      </x:c>
      <x:c r="B220" s="44" t="n">
        <x:f>IF(COUNT(C220:D220)=2,SUM(C220:D220),"")</x:f>
        <x:v>277853</x:v>
      </x:c>
      <x:c r="C220" s="44" t="n">
        <x:v>262285</x:v>
      </x:c>
      <x:c r="D220" s="44" t="n">
        <x:v>15568</x:v>
      </x:c>
      <x:c r="E220" s="44" t="n">
        <x:v>22630</x:v>
      </x:c>
      <x:c r="F220" s="44" t="n">
        <x:v>2750</x:v>
      </x:c>
      <x:c r="G220" s="44" t="n">
        <x:v>2350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43" t="n">
        <x:v>46053</x:v>
      </x:c>
      <x:c r="B221" s="44" t="n">
        <x:f>IF(COUNT(C221:D221)=2,SUM(C221:D221),"")</x:f>
        <x:v>154013</x:v>
      </x:c>
      <x:c r="C221" s="44" t="n">
        <x:v>144566</x:v>
      </x:c>
      <x:c r="D221" s="44" t="n">
        <x:v>9447</x:v>
      </x:c>
      <x:c r="E221" s="44" t="n">
        <x:v>22630</x:v>
      </x:c>
      <x:c r="F221" s="44" t="n">
        <x:v>2750</x:v>
      </x:c>
      <x:c r="G221" s="44" t="n">
        <x:v>2001</x:v>
      </x:c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43" t="n">
        <x:v>46054</x:v>
      </x:c>
      <x:c r="B222" s="44" t="n">
        <x:f>IF(COUNT(C222:D222)=2,SUM(C222:D222),"")</x:f>
        <x:v>95988</x:v>
      </x:c>
      <x:c r="C222" s="44" t="n">
        <x:v>91164</x:v>
      </x:c>
      <x:c r="D222" s="44" t="n">
        <x:v>4824</x:v>
      </x:c>
      <x:c r="E222" s="44" t="n">
        <x:v>22630</x:v>
      </x:c>
      <x:c r="F222" s="44" t="n">
        <x:v>2750</x:v>
      </x:c>
      <x:c r="G222" s="44" t="n">
        <x:v>654</x:v>
      </x:c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43" t="n">
        <x:v>46055</x:v>
      </x:c>
      <x:c r="B223" s="44" t="n">
        <x:f>IF(COUNT(C223:D223)=2,SUM(C223:D223),"")</x:f>
        <x:v>201423</x:v>
      </x:c>
      <x:c r="C223" s="44" t="n">
        <x:v>192468</x:v>
      </x:c>
      <x:c r="D223" s="44" t="n">
        <x:v>8955</x:v>
      </x:c>
      <x:c r="E223" s="44" t="n">
        <x:v>22630</x:v>
      </x:c>
      <x:c r="F223" s="44" t="n">
        <x:v>2750</x:v>
      </x:c>
      <x:c r="G223" s="44" t="n">
        <x:v>1056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43" t="n">
        <x:v>46056</x:v>
      </x:c>
      <x:c r="B224" s="44" t="n">
        <x:f>IF(COUNT(C224:D224)=2,SUM(C224:D224),"")</x:f>
        <x:v>258762</x:v>
      </x:c>
      <x:c r="C224" s="44" t="n">
        <x:v>245650</x:v>
      </x:c>
      <x:c r="D224" s="44" t="n">
        <x:v>13112</x:v>
      </x:c>
      <x:c r="E224" s="44" t="n">
        <x:v>22660</x:v>
      </x:c>
      <x:c r="F224" s="44" t="n">
        <x:v>2750</x:v>
      </x:c>
      <x:c r="G224" s="44" t="n">
        <x:v>1554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43" t="n">
        <x:v>46057</x:v>
      </x:c>
      <x:c r="B225" s="44" t="n">
        <x:f>IF(COUNT(C225:D225)=2,SUM(C225:D225),"")</x:f>
        <x:v>275251</x:v>
      </x:c>
      <x:c r="C225" s="44" t="n">
        <x:v>260709</x:v>
      </x:c>
      <x:c r="D225" s="44" t="n">
        <x:v>14542</x:v>
      </x:c>
      <x:c r="E225" s="44" t="n">
        <x:v>22660</x:v>
      </x:c>
      <x:c r="F225" s="44" t="n">
        <x:v>2750</x:v>
      </x:c>
      <x:c r="G225" s="44" t="n">
        <x:v>1703</x:v>
      </x:c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43" t="n">
        <x:v>46058</x:v>
      </x:c>
      <x:c r="B226" s="44" t="n">
        <x:f>IF(COUNT(C226:D226)=2,SUM(C226:D226),"")</x:f>
        <x:v>276921</x:v>
      </x:c>
      <x:c r="C226" s="44" t="n">
        <x:v>262159</x:v>
      </x:c>
      <x:c r="D226" s="44" t="n">
        <x:v>14762</x:v>
      </x:c>
      <x:c r="E226" s="44" t="n">
        <x:v>22660</x:v>
      </x:c>
      <x:c r="F226" s="44" t="n">
        <x:v>2750</x:v>
      </x:c>
      <x:c r="G226" s="44" t="n">
        <x:v>1720</x:v>
      </x:c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43" t="n">
        <x:v>46059</x:v>
      </x:c>
      <x:c r="B227" s="44" t="n">
        <x:f>IF(COUNT(C227:D227)=2,SUM(C227:D227),"")</x:f>
        <x:v>230605</x:v>
      </x:c>
      <x:c r="C227" s="44" t="n">
        <x:v>218925</x:v>
      </x:c>
      <x:c r="D227" s="44" t="n">
        <x:v>11680</x:v>
      </x:c>
      <x:c r="E227" s="44" t="n">
        <x:v>22660</x:v>
      </x:c>
      <x:c r="F227" s="44" t="n">
        <x:v>2750</x:v>
      </x:c>
      <x:c r="G227" s="44" t="n">
        <x:v>1339</x:v>
      </x:c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43" t="n">
        <x:v>46060</x:v>
      </x:c>
      <x:c r="B228" s="44" t="n">
        <x:f>IF(COUNT(C228:D228)=2,SUM(C228:D228),"")</x:f>
        <x:v>183927</x:v>
      </x:c>
      <x:c r="C228" s="44" t="n">
        <x:v>173950</x:v>
      </x:c>
      <x:c r="D228" s="44" t="n">
        <x:v>9977</x:v>
      </x:c>
      <x:c r="E228" s="44" t="n">
        <x:v>22697</x:v>
      </x:c>
      <x:c r="F228" s="44" t="n">
        <x:v>3000</x:v>
      </x:c>
      <x:c r="G228" s="44" t="n">
        <x:v>1176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43" t="n">
        <x:v>46061</x:v>
      </x:c>
      <x:c r="B229" s="44" t="n">
        <x:f>IF(COUNT(C229:D229)=2,SUM(C229:D229),"")</x:f>
        <x:v>158780</x:v>
      </x:c>
      <x:c r="C229" s="44" t="n">
        <x:v>150166</x:v>
      </x:c>
      <x:c r="D229" s="44" t="n">
        <x:v>8614</x:v>
      </x:c>
      <x:c r="E229" s="44" t="n">
        <x:v>22697</x:v>
      </x:c>
      <x:c r="F229" s="44" t="n">
        <x:v>3000</x:v>
      </x:c>
      <x:c r="G229" s="44" t="n">
        <x:v>992</x:v>
      </x:c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43" t="n">
        <x:v>46062</x:v>
      </x:c>
      <x:c r="B230" s="44" t="n">
        <x:f>IF(COUNT(C230:D230)=2,SUM(C230:D230),"")</x:f>
        <x:v>236598</x:v>
      </x:c>
      <x:c r="C230" s="44" t="n">
        <x:v>224881</x:v>
      </x:c>
      <x:c r="D230" s="44" t="n">
        <x:v>11717</x:v>
      </x:c>
      <x:c r="E230" s="44" t="n">
        <x:v>22697</x:v>
      </x:c>
      <x:c r="F230" s="44" t="n">
        <x:v>3000</x:v>
      </x:c>
      <x:c r="G230" s="44" t="n">
        <x:v>1335</x:v>
      </x:c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43" t="n">
        <x:v>46063</x:v>
      </x:c>
      <x:c r="B231" s="44" t="n">
        <x:f>IF(COUNT(C231:D231)=2,SUM(C231:D231),"")</x:f>
        <x:v>269752</x:v>
      </x:c>
      <x:c r="C231" s="44" t="n">
        <x:v>254881</x:v>
      </x:c>
      <x:c r="D231" s="44" t="n">
        <x:v>14871</x:v>
      </x:c>
      <x:c r="E231" s="44" t="n">
        <x:v>22697</x:v>
      </x:c>
      <x:c r="F231" s="44" t="n">
        <x:v>3000</x:v>
      </x:c>
      <x:c r="G231" s="44" t="n">
        <x:v>1750</x:v>
      </x:c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43" t="n">
        <x:v>46064</x:v>
      </x:c>
      <x:c r="B232" s="44" t="n">
        <x:f>IF(COUNT(C232:D232)=2,SUM(C232:D232),"")</x:f>
        <x:v>253961</x:v>
      </x:c>
      <x:c r="C232" s="44" t="n">
        <x:v>239756</x:v>
      </x:c>
      <x:c r="D232" s="44" t="n">
        <x:v>14205</x:v>
      </x:c>
      <x:c r="E232" s="44" t="n">
        <x:v>22697</x:v>
      </x:c>
      <x:c r="F232" s="44" t="n">
        <x:v>3000</x:v>
      </x:c>
      <x:c r="G232" s="44" t="n">
        <x:v>1626</x:v>
      </x:c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43" t="n">
        <x:v>46065</x:v>
      </x:c>
      <x:c r="B233" s="44" t="n">
        <x:f>IF(COUNT(C233:D233)=2,SUM(C233:D233),"")</x:f>
        <x:v>264719</x:v>
      </x:c>
      <x:c r="C233" s="44" t="n">
        <x:v>249159</x:v>
      </x:c>
      <x:c r="D233" s="44" t="n">
        <x:v>15560</x:v>
      </x:c>
      <x:c r="E233" s="44" t="n">
        <x:v>22697</x:v>
      </x:c>
      <x:c r="F233" s="44" t="n">
        <x:v>3000</x:v>
      </x:c>
      <x:c r="G233" s="44" t="n">
        <x:v>1870</x:v>
      </x:c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43" t="n">
        <x:v>46066</x:v>
      </x:c>
      <x:c r="B234" s="44" t="n">
        <x:f>IF(COUNT(C234:D234)=2,SUM(C234:D234),"")</x:f>
        <x:v>265569</x:v>
      </x:c>
      <x:c r="C234" s="44" t="n">
        <x:v>249615</x:v>
      </x:c>
      <x:c r="D234" s="44" t="n">
        <x:v>15954</x:v>
      </x:c>
      <x:c r="E234" s="44" t="n">
        <x:v>22697</x:v>
      </x:c>
      <x:c r="F234" s="44" t="n">
        <x:v>3000</x:v>
      </x:c>
      <x:c r="G234" s="44" t="n">
        <x:v>1900</x:v>
      </x:c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43" t="n">
        <x:v>46067</x:v>
      </x:c>
      <x:c r="B235" s="44" t="n">
        <x:f>IF(COUNT(C235:D235)=2,SUM(C235:D235),"")</x:f>
        <x:v>198091</x:v>
      </x:c>
      <x:c r="C235" s="44" t="n">
        <x:v>185266</x:v>
      </x:c>
      <x:c r="D235" s="44" t="n">
        <x:v>12825</x:v>
      </x:c>
      <x:c r="E235" s="44" t="n">
        <x:v>22697</x:v>
      </x:c>
      <x:c r="F235" s="44" t="n">
        <x:v>3000</x:v>
      </x:c>
      <x:c r="G235" s="44" t="n">
        <x:v>1593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43" t="n">
        <x:v>46068</x:v>
      </x:c>
      <x:c r="B236" s="44" t="n">
        <x:f>IF(COUNT(C236:D236)=2,SUM(C236:D236),"")</x:f>
        <x:v>171871</x:v>
      </x:c>
      <x:c r="C236" s="44" t="n">
        <x:v>160548</x:v>
      </x:c>
      <x:c r="D236" s="44" t="n">
        <x:v>11323</x:v>
      </x:c>
      <x:c r="E236" s="44" t="n">
        <x:v>22697</x:v>
      </x:c>
      <x:c r="F236" s="44" t="n">
        <x:v>3000</x:v>
      </x:c>
      <x:c r="G236" s="44" t="n">
        <x:v>1449</x:v>
      </x:c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43" t="n">
        <x:v>46069</x:v>
      </x:c>
      <x:c r="B237" s="44" t="n">
        <x:f>IF(COUNT(C237:D237)=2,SUM(C237:D237),"")</x:f>
        <x:v>112640</x:v>
      </x:c>
      <x:c r="C237" s="44" t="n">
        <x:v>104947</x:v>
      </x:c>
      <x:c r="D237" s="44" t="n">
        <x:v>7693</x:v>
      </x:c>
      <x:c r="E237" s="44" t="n">
        <x:v>22697</x:v>
      </x:c>
      <x:c r="F237" s="44" t="n">
        <x:v>3000</x:v>
      </x:c>
      <x:c r="G237" s="44" t="n">
        <x:v>1102</x:v>
      </x:c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43" t="n">
        <x:v>46070</x:v>
      </x:c>
      <x:c r="B238" s="44" t="n">
        <x:f>IF(COUNT(C238:D238)=2,SUM(C238:D238),"")</x:f>
        <x:v>99592</x:v>
      </x:c>
      <x:c r="C238" s="44" t="n">
        <x:v>92135</x:v>
      </x:c>
      <x:c r="D238" s="44" t="n">
        <x:v>7457</x:v>
      </x:c>
      <x:c r="E238" s="44" t="n">
        <x:v>22697</x:v>
      </x:c>
      <x:c r="F238" s="44" t="n">
        <x:v>3000</x:v>
      </x:c>
      <x:c r="G238" s="44" t="n">
        <x:v>957</x:v>
      </x:c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43" t="n">
        <x:v>46071</x:v>
      </x:c>
      <x:c r="B239" s="44" t="n">
        <x:f>IF(COUNT(C239:D239)=2,SUM(C239:D239),"")</x:f>
        <x:v>107377</x:v>
      </x:c>
      <x:c r="C239" s="44" t="n">
        <x:v>99548</x:v>
      </x:c>
      <x:c r="D239" s="44" t="n">
        <x:v>7829</x:v>
      </x:c>
      <x:c r="E239" s="44" t="n">
        <x:v>22697</x:v>
      </x:c>
      <x:c r="F239" s="44" t="n">
        <x:v>3000</x:v>
      </x:c>
      <x:c r="G239" s="44" t="n">
        <x:v>976</x:v>
      </x:c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43" t="n">
        <x:v>46072</x:v>
      </x:c>
      <x:c r="B240" s="44" t="n">
        <x:f>IF(COUNT(C240:D240)=2,SUM(C240:D240),"")</x:f>
        <x:v>139543</x:v>
      </x:c>
      <x:c r="C240" s="44" t="n">
        <x:v>129096</x:v>
      </x:c>
      <x:c r="D240" s="44" t="n">
        <x:v>10447</x:v>
      </x:c>
      <x:c r="E240" s="44" t="n">
        <x:v>22697</x:v>
      </x:c>
      <x:c r="F240" s="44" t="n">
        <x:v>3000</x:v>
      </x:c>
      <x:c r="G240" s="44" t="n">
        <x:v>1365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43" t="n">
        <x:v>46073</x:v>
      </x:c>
      <x:c r="B241" s="44" t="n">
        <x:f>IF(COUNT(C241:D241)=2,SUM(C241:D241),"")</x:f>
        <x:v>154930</x:v>
      </x:c>
      <x:c r="C241" s="44" t="n">
        <x:v>144192</x:v>
      </x:c>
      <x:c r="D241" s="44" t="n">
        <x:v>10738</x:v>
      </x:c>
      <x:c r="E241" s="44" t="n">
        <x:v>22697</x:v>
      </x:c>
      <x:c r="F241" s="44" t="n">
        <x:v>3000</x:v>
      </x:c>
      <x:c r="G241" s="44" t="n">
        <x:v>1332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43" t="n">
        <x:v>46074</x:v>
      </x:c>
      <x:c r="B242" s="44" t="n">
        <x:f>IF(COUNT(C242:D242)=2,SUM(C242:D242),"")</x:f>
        <x:v>199787</x:v>
      </x:c>
      <x:c r="C242" s="44" t="n">
        <x:v>186606</x:v>
      </x:c>
      <x:c r="D242" s="44" t="n">
        <x:v>13181</x:v>
      </x:c>
      <x:c r="E242" s="44" t="n">
        <x:v>22697</x:v>
      </x:c>
      <x:c r="F242" s="44" t="n">
        <x:v>3000</x:v>
      </x:c>
      <x:c r="G242" s="44" t="n">
        <x:v>1587</x:v>
      </x:c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43" t="n">
        <x:v>46075</x:v>
      </x:c>
      <x:c r="B243" s="44" t="n">
        <x:f>IF(COUNT(C243:D243)=2,SUM(C243:D243),"")</x:f>
        <x:v>210149</x:v>
      </x:c>
      <x:c r="C243" s="44" t="n">
        <x:v>197541</x:v>
      </x:c>
      <x:c r="D243" s="44" t="n">
        <x:v>12608</x:v>
      </x:c>
      <x:c r="E243" s="44" t="n">
        <x:v>22697</x:v>
      </x:c>
      <x:c r="F243" s="44" t="n">
        <x:v>3000</x:v>
      </x:c>
      <x:c r="G243" s="44" t="n">
        <x:v>1699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43" t="n">
        <x:v>46076</x:v>
      </x:c>
      <x:c r="B244" s="44" t="n">
        <x:f>IF(COUNT(C244:D244)=2,SUM(C244:D244),"")</x:f>
        <x:v>279711</x:v>
      </x:c>
      <x:c r="C244" s="44" t="n">
        <x:v>265336</x:v>
      </x:c>
      <x:c r="D244" s="44" t="n">
        <x:v>14375</x:v>
      </x:c>
      <x:c r="E244" s="44" t="n">
        <x:v>22697</x:v>
      </x:c>
      <x:c r="F244" s="44" t="n">
        <x:v>3000</x:v>
      </x:c>
      <x:c r="G244" s="44" t="n">
        <x:v>1937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43" t="n">
        <x:v>46077</x:v>
      </x:c>
      <x:c r="B245" s="44" t="n">
        <x:f>IF(COUNT(C245:D245)=2,SUM(C245:D245),"")</x:f>
        <x:v>280542</x:v>
      </x:c>
      <x:c r="C245" s="44" t="n">
        <x:v>265980</x:v>
      </x:c>
      <x:c r="D245" s="44" t="n">
        <x:v>14562</x:v>
      </x:c>
      <x:c r="E245" s="44" t="n">
        <x:v>22697</x:v>
      </x:c>
      <x:c r="F245" s="44" t="n">
        <x:v>3000</x:v>
      </x:c>
      <x:c r="G245" s="44" t="n">
        <x:v>2079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43" t="n">
        <x:v>46078</x:v>
      </x:c>
      <x:c r="B246" s="44" t="n">
        <x:f>IF(COUNT(C246:D246)=2,SUM(C246:D246),"")</x:f>
        <x:v>232553</x:v>
      </x:c>
      <x:c r="C246" s="44" t="n">
        <x:v>220409</x:v>
      </x:c>
      <x:c r="D246" s="44" t="n">
        <x:v>12144</x:v>
      </x:c>
      <x:c r="E246" s="44" t="n">
        <x:v>22697</x:v>
      </x:c>
      <x:c r="F246" s="44" t="n">
        <x:v>3000</x:v>
      </x:c>
      <x:c r="G246" s="44" t="n">
        <x:v>1731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43" t="n">
        <x:v>46079</x:v>
      </x:c>
      <x:c r="B247" s="44" t="n">
        <x:f>IF(COUNT(C247:D247)=2,SUM(C247:D247),"")</x:f>
        <x:v>290951</x:v>
      </x:c>
      <x:c r="C247" s="44" t="n">
        <x:v>273639</x:v>
      </x:c>
      <x:c r="D247" s="44" t="n">
        <x:v>17312</x:v>
      </x:c>
      <x:c r="E247" s="44" t="n">
        <x:v>22697</x:v>
      </x:c>
      <x:c r="F247" s="44" t="n">
        <x:v>3000</x:v>
      </x:c>
      <x:c r="G247" s="44" t="n">
        <x:v>2578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43" t="n">
        <x:v>46080</x:v>
      </x:c>
      <x:c r="B248" s="44" t="n">
        <x:f>IF(COUNT(C248:D248)=2,SUM(C248:D248),"")</x:f>
        <x:v>188039</x:v>
      </x:c>
      <x:c r="C248" s="44" t="n">
        <x:v>175784</x:v>
      </x:c>
      <x:c r="D248" s="44" t="n">
        <x:v>12255</x:v>
      </x:c>
      <x:c r="E248" s="44" t="n">
        <x:v>22712</x:v>
      </x:c>
      <x:c r="F248" s="44" t="n">
        <x:v>3000</x:v>
      </x:c>
      <x:c r="G248" s="44" t="n">
        <x:v>1973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43" t="n">
        <x:v>46081</x:v>
      </x:c>
      <x:c r="B249" s="44" t="n">
        <x:f>IF(COUNT(C249:D249)=2,SUM(C249:D249),"")</x:f>
        <x:v>199615</x:v>
      </x:c>
      <x:c r="C249" s="44" t="n">
        <x:v>186010</x:v>
      </x:c>
      <x:c r="D249" s="44" t="n">
        <x:v>13605</x:v>
      </x:c>
      <x:c r="E249" s="44" t="n">
        <x:v>22712</x:v>
      </x:c>
      <x:c r="F249" s="44" t="n">
        <x:v>3000</x:v>
      </x:c>
      <x:c r="G249" s="44" t="n">
        <x:v>2740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43" t="n">
        <x:v>46082</x:v>
      </x:c>
      <x:c r="B250" s="44" t="n">
        <x:f>IF(COUNT(C250:D250)=2,SUM(C250:D250),"")</x:f>
        <x:v>201335</x:v>
      </x:c>
      <x:c r="C250" s="44" t="n">
        <x:v>189069</x:v>
      </x:c>
      <x:c r="D250" s="44" t="n">
        <x:v>12266</x:v>
      </x:c>
      <x:c r="E250" s="44" t="n">
        <x:v>22712</x:v>
      </x:c>
      <x:c r="F250" s="44" t="n">
        <x:v>3000</x:v>
      </x:c>
      <x:c r="G250" s="44" t="n">
        <x:v>1348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43" t="n">
        <x:v>46083</x:v>
      </x:c>
      <x:c r="B251" s="44" t="n">
        <x:f>IF(COUNT(C251:D251)=2,SUM(C251:D251),"")</x:f>
        <x:v>273331</x:v>
      </x:c>
      <x:c r="C251" s="44" t="n">
        <x:v>258980</x:v>
      </x:c>
      <x:c r="D251" s="44" t="n">
        <x:v>14351</x:v>
      </x:c>
      <x:c r="E251" s="44" t="n">
        <x:v>22712</x:v>
      </x:c>
      <x:c r="F251" s="44" t="n">
        <x:v>3000</x:v>
      </x:c>
      <x:c r="G251" s="44" t="n">
        <x:v>1579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43" t="n">
        <x:v>46084</x:v>
      </x:c>
      <x:c r="B252" s="44" t="n">
        <x:f>IF(COUNT(C252:D252)=2,SUM(C252:D252),"")</x:f>
        <x:v>165818</x:v>
      </x:c>
      <x:c r="C252" s="44" t="n">
        <x:v>157322</x:v>
      </x:c>
      <x:c r="D252" s="44" t="n">
        <x:v>8496</x:v>
      </x:c>
      <x:c r="E252" s="44" t="n">
        <x:v>22712</x:v>
      </x:c>
      <x:c r="F252" s="44" t="n">
        <x:v>3000</x:v>
      </x:c>
      <x:c r="G252" s="44" t="n">
        <x:v>898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43" t="n">
        <x:v>46085</x:v>
      </x:c>
      <x:c r="B253" s="44" t="n">
        <x:f>IF(COUNT(C253:D253)=2,SUM(C253:D253),"")</x:f>
        <x:v>144147</x:v>
      </x:c>
      <x:c r="C253" s="44" t="n">
        <x:v>137183</x:v>
      </x:c>
      <x:c r="D253" s="44" t="n">
        <x:v>6964</x:v>
      </x:c>
      <x:c r="E253" s="44" t="n">
        <x:v>22712</x:v>
      </x:c>
      <x:c r="F253" s="44" t="n">
        <x:v>3000</x:v>
      </x:c>
      <x:c r="G253" s="44" t="n">
        <x:v>766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43" t="n">
        <x:v>46086</x:v>
      </x:c>
      <x:c r="B254" s="44" t="n">
        <x:f>IF(COUNT(C254:D254)=2,SUM(C254:D254),"")</x:f>
        <x:v>211824</x:v>
      </x:c>
      <x:c r="C254" s="44" t="n">
        <x:v>200824</x:v>
      </x:c>
      <x:c r="D254" s="44" t="n">
        <x:v>11000</x:v>
      </x:c>
      <x:c r="E254" s="44" t="n">
        <x:v>22712</x:v>
      </x:c>
      <x:c r="F254" s="44" t="n">
        <x:v>3000</x:v>
      </x:c>
      <x:c r="G254" s="44" t="n">
        <x:v>1339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43" t="n">
        <x:v>46087</x:v>
      </x:c>
      <x:c r="B255" s="44" t="n">
        <x:f>IF(COUNT(C255:D255)=2,SUM(C255:D255),"")</x:f>
        <x:v>264208</x:v>
      </x:c>
      <x:c r="C255" s="44" t="n">
        <x:v>248948</x:v>
      </x:c>
      <x:c r="D255" s="44" t="n">
        <x:v>15260</x:v>
      </x:c>
      <x:c r="E255" s="44" t="n">
        <x:v>22712</x:v>
      </x:c>
      <x:c r="F255" s="44" t="n">
        <x:v>3000</x:v>
      </x:c>
      <x:c r="G255" s="44" t="n">
        <x:v>1657</x:v>
      </x:c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43" t="n">
        <x:v>46088</x:v>
      </x:c>
      <x:c r="B256" s="44" t="n">
        <x:f>IF(COUNT(C256:D256)=2,SUM(C256:D256),"")</x:f>
        <x:v>227524</x:v>
      </x:c>
      <x:c r="C256" s="44" t="n">
        <x:v>212986</x:v>
      </x:c>
      <x:c r="D256" s="44" t="n">
        <x:v>14538</x:v>
      </x:c>
      <x:c r="E256" s="44" t="n">
        <x:v>22779</x:v>
      </x:c>
      <x:c r="F256" s="44" t="n">
        <x:v>3250</x:v>
      </x:c>
      <x:c r="G256" s="44" t="n">
        <x:v>1554</x:v>
      </x:c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43" t="n">
        <x:v>46089</x:v>
      </x:c>
      <x:c r="B257" s="44" t="n">
        <x:f>IF(COUNT(C257:D257)=2,SUM(C257:D257),"")</x:f>
        <x:v>193830</x:v>
      </x:c>
      <x:c r="C257" s="44" t="n">
        <x:v>181543</x:v>
      </x:c>
      <x:c r="D257" s="44" t="n">
        <x:v>12287</x:v>
      </x:c>
      <x:c r="E257" s="44" t="n">
        <x:v>22779</x:v>
      </x:c>
      <x:c r="F257" s="44" t="n">
        <x:v>3250</x:v>
      </x:c>
      <x:c r="G257" s="44" t="n">
        <x:v>1548</x:v>
      </x:c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43" t="n">
        <x:v>46090</x:v>
      </x:c>
      <x:c r="B258" s="44" t="n">
        <x:f>IF(COUNT(C258:D258)=2,SUM(C258:D258),"")</x:f>
        <x:v>223842</x:v>
      </x:c>
      <x:c r="C258" s="44" t="n">
        <x:v>211884</x:v>
      </x:c>
      <x:c r="D258" s="44" t="n">
        <x:v>11958</x:v>
      </x:c>
      <x:c r="E258" s="44" t="n">
        <x:v>22779</x:v>
      </x:c>
      <x:c r="F258" s="44" t="n">
        <x:v>3250</x:v>
      </x:c>
      <x:c r="G258" s="44" t="n">
        <x:v>1199</x:v>
      </x:c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43" t="n">
        <x:v>46091</x:v>
      </x:c>
      <x:c r="B259" s="44" t="n">
        <x:f>IF(COUNT(C259:D259)=2,SUM(C259:D259),"")</x:f>
        <x:v>154511</x:v>
      </x:c>
      <x:c r="C259" s="44" t="n">
        <x:v>145862</x:v>
      </x:c>
      <x:c r="D259" s="44" t="n">
        <x:v>8649</x:v>
      </x:c>
      <x:c r="E259" s="44" t="n">
        <x:v>22779</x:v>
      </x:c>
      <x:c r="F259" s="44" t="n">
        <x:v>3250</x:v>
      </x:c>
      <x:c r="G259" s="44" t="n">
        <x:v>809</x:v>
      </x:c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43" t="n">
        <x:v>46092</x:v>
      </x:c>
      <x:c r="B260" s="44" t="n">
        <x:f>IF(COUNT(C260:D260)=2,SUM(C260:D260),"")</x:f>
        <x:v>287472</x:v>
      </x:c>
      <x:c r="C260" s="44" t="n">
        <x:v>270562</x:v>
      </x:c>
      <x:c r="D260" s="44" t="n">
        <x:v>16910</x:v>
      </x:c>
      <x:c r="E260" s="44" t="n">
        <x:v>22779</x:v>
      </x:c>
      <x:c r="F260" s="44" t="n">
        <x:v>3250</x:v>
      </x:c>
      <x:c r="G260" s="44" t="n">
        <x:v>1998</x:v>
      </x:c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43" t="n">
        <x:v>46093</x:v>
      </x:c>
      <x:c r="B261" s="44" t="n">
        <x:f>IF(COUNT(C261:D261)=2,SUM(C261:D261),"")</x:f>
        <x:v>280446</x:v>
      </x:c>
      <x:c r="C261" s="44" t="n">
        <x:v>262820</x:v>
      </x:c>
      <x:c r="D261" s="44" t="n">
        <x:v>17626</x:v>
      </x:c>
      <x:c r="E261" s="44" t="n">
        <x:v>22779</x:v>
      </x:c>
      <x:c r="F261" s="44" t="n">
        <x:v>3250</x:v>
      </x:c>
      <x:c r="G261" s="44" t="n">
        <x:v>1943</x:v>
      </x:c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43" t="n">
        <x:v>46094</x:v>
      </x:c>
      <x:c r="B262" s="44" t="n">
        <x:f>IF(COUNT(C262:D262)=2,SUM(C262:D262),"")</x:f>
        <x:v>287144</x:v>
      </x:c>
      <x:c r="C262" s="44" t="n">
        <x:v>268399</x:v>
      </x:c>
      <x:c r="D262" s="44" t="n">
        <x:v>18745</x:v>
      </x:c>
      <x:c r="E262" s="44" t="n">
        <x:v>22779</x:v>
      </x:c>
      <x:c r="F262" s="44" t="n">
        <x:v>3250</x:v>
      </x:c>
      <x:c r="G262" s="44" t="n">
        <x:v>1945</x:v>
      </x:c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43" t="n">
        <x:v>46095</x:v>
      </x:c>
      <x:c r="B263" s="44" t="n">
        <x:f>IF(COUNT(C263:D263)=2,SUM(C263:D263),"")</x:f>
        <x:v>256331</x:v>
      </x:c>
      <x:c r="C263" s="44" t="n">
        <x:v>238447</x:v>
      </x:c>
      <x:c r="D263" s="44" t="n">
        <x:v>17884</x:v>
      </x:c>
      <x:c r="E263" s="44" t="n">
        <x:v>22779</x:v>
      </x:c>
      <x:c r="F263" s="44" t="n">
        <x:v>3250</x:v>
      </x:c>
      <x:c r="G263" s="44" t="n">
        <x:v>1861</x:v>
      </x:c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43" t="n">
        <x:v>46096</x:v>
      </x:c>
      <x:c r="B264" s="44" t="n">
        <x:f>IF(COUNT(C264:D264)=2,SUM(C264:D264),"")</x:f>
        <x:v>244564</x:v>
      </x:c>
      <x:c r="C264" s="44" t="n">
        <x:v>227415</x:v>
      </x:c>
      <x:c r="D264" s="44" t="n">
        <x:v>17149</x:v>
      </x:c>
      <x:c r="E264" s="44" t="n">
        <x:v>22779</x:v>
      </x:c>
      <x:c r="F264" s="44" t="n">
        <x:v>3250</x:v>
      </x:c>
      <x:c r="G264" s="44" t="n">
        <x:v>1806</x:v>
      </x:c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43" t="n">
        <x:v>46097</x:v>
      </x:c>
      <x:c r="B265" s="44" t="n">
        <x:f>IF(COUNT(C265:D265)=2,SUM(C265:D265),"")</x:f>
        <x:v>280844</x:v>
      </x:c>
      <x:c r="C265" s="44" t="n">
        <x:v>264624</x:v>
      </x:c>
      <x:c r="D265" s="44" t="n">
        <x:v>16220</x:v>
      </x:c>
      <x:c r="E265" s="44" t="n">
        <x:v>22779</x:v>
      </x:c>
      <x:c r="F265" s="44" t="n">
        <x:v>3250</x:v>
      </x:c>
      <x:c r="G265" s="44" t="n">
        <x:v>1698</x:v>
      </x:c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43" t="n">
        <x:v>46098</x:v>
      </x:c>
      <x:c r="B266" s="44" t="n">
        <x:f>IF(COUNT(C266:D266)=2,SUM(C266:D266),"")</x:f>
        <x:v>291854</x:v>
      </x:c>
      <x:c r="C266" s="44" t="n">
        <x:v>274133</x:v>
      </x:c>
      <x:c r="D266" s="44" t="n">
        <x:v>17721</x:v>
      </x:c>
      <x:c r="E266" s="44" t="n">
        <x:v>22779</x:v>
      </x:c>
      <x:c r="F266" s="44" t="n">
        <x:v>3250</x:v>
      </x:c>
      <x:c r="G266" s="44" t="n">
        <x:v>1999</x:v>
      </x:c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43" t="n">
        <x:v>46099</x:v>
      </x:c>
      <x:c r="B267" s="44" t="n">
        <x:f>IF(COUNT(C267:D267)=2,SUM(C267:D267),"")</x:f>
        <x:v>296935</x:v>
      </x:c>
      <x:c r="C267" s="44" t="n">
        <x:v>278307</x:v>
      </x:c>
      <x:c r="D267" s="44" t="n">
        <x:v>18628</x:v>
      </x:c>
      <x:c r="E267" s="44" t="n">
        <x:v>22779</x:v>
      </x:c>
      <x:c r="F267" s="44" t="n">
        <x:v>3250</x:v>
      </x:c>
      <x:c r="G267" s="44" t="n">
        <x:v>1974</x:v>
      </x:c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43" t="n">
        <x:v>46100</x:v>
      </x:c>
      <x:c r="B268" s="44" t="n">
        <x:f>IF(COUNT(C268:D268)=2,SUM(C268:D268),"")</x:f>
        <x:v>285291</x:v>
      </x:c>
      <x:c r="C268" s="44" t="n">
        <x:v>267815</x:v>
      </x:c>
      <x:c r="D268" s="44" t="n">
        <x:v>17476</x:v>
      </x:c>
      <x:c r="E268" s="44" t="n">
        <x:v>22779</x:v>
      </x:c>
      <x:c r="F268" s="44" t="n">
        <x:v>3250</x:v>
      </x:c>
      <x:c r="G268" s="44" t="n">
        <x:v>1781</x:v>
      </x:c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43" t="n">
        <x:v>46101</x:v>
      </x:c>
      <x:c r="B269" s="44" t="n">
        <x:f>IF(COUNT(C269:D269)=2,SUM(C269:D269),"")</x:f>
        <x:v>306962</x:v>
      </x:c>
      <x:c r="C269" s="44" t="n">
        <x:v>286355</x:v>
      </x:c>
      <x:c r="D269" s="44" t="n">
        <x:v>20607</x:v>
      </x:c>
      <x:c r="E269" s="44" t="n">
        <x:v>22779</x:v>
      </x:c>
      <x:c r="F269" s="44" t="n">
        <x:v>3250</x:v>
      </x:c>
      <x:c r="G269" s="44" t="n">
        <x:v>2042</x:v>
      </x:c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43" t="n">
        <x:v>46102</x:v>
      </x:c>
      <x:c r="B270" s="44" t="n">
        <x:f>IF(COUNT(C270:D270)=2,SUM(C270:D270),"")</x:f>
        <x:v>253107</x:v>
      </x:c>
      <x:c r="C270" s="44" t="n">
        <x:v>235304</x:v>
      </x:c>
      <x:c r="D270" s="44" t="n">
        <x:v>17803</x:v>
      </x:c>
      <x:c r="E270" s="44" t="n">
        <x:v>22779</x:v>
      </x:c>
      <x:c r="F270" s="44" t="n">
        <x:v>3250</x:v>
      </x:c>
      <x:c r="G270" s="44" t="n">
        <x:v>1908</x:v>
      </x:c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43" t="n">
        <x:v>46103</x:v>
      </x:c>
      <x:c r="B271" s="44" t="n">
        <x:f>IF(COUNT(C271:D271)=2,SUM(C271:D271),"")</x:f>
        <x:v>240329</x:v>
      </x:c>
      <x:c r="C271" s="44" t="n">
        <x:v>223462</x:v>
      </x:c>
      <x:c r="D271" s="44" t="n">
        <x:v>16867</x:v>
      </x:c>
      <x:c r="E271" s="44" t="n">
        <x:v>22779</x:v>
      </x:c>
      <x:c r="F271" s="44" t="n">
        <x:v>3250</x:v>
      </x:c>
      <x:c r="G271" s="44" t="n">
        <x:v>1797</x:v>
      </x:c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43" t="n">
        <x:v>46104</x:v>
      </x:c>
      <x:c r="B272" s="44" t="n">
        <x:f>IF(COUNT(C272:D272)=2,SUM(C272:D272),"")</x:f>
        <x:v>282377</x:v>
      </x:c>
      <x:c r="C272" s="44" t="n">
        <x:v>265602</x:v>
      </x:c>
      <x:c r="D272" s="44" t="n">
        <x:v>16775</x:v>
      </x:c>
      <x:c r="E272" s="44" t="n">
        <x:v>22779</x:v>
      </x:c>
      <x:c r="F272" s="44" t="n">
        <x:v>3250</x:v>
      </x:c>
      <x:c r="G272" s="44" t="n">
        <x:v>1858</x:v>
      </x:c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43" t="n">
        <x:v>46105</x:v>
      </x:c>
      <x:c r="B273" s="44" t="n">
        <x:f>IF(COUNT(C273:D273)=2,SUM(C273:D273),"")</x:f>
        <x:v>294194</x:v>
      </x:c>
      <x:c r="C273" s="44" t="n">
        <x:v>277040</x:v>
      </x:c>
      <x:c r="D273" s="44" t="n">
        <x:v>17154</x:v>
      </x:c>
      <x:c r="E273" s="44" t="n">
        <x:v>22779</x:v>
      </x:c>
      <x:c r="F273" s="44" t="n">
        <x:v>3250</x:v>
      </x:c>
      <x:c r="G273" s="44" t="n">
        <x:v>1931</x:v>
      </x:c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43" t="n">
        <x:v>46106</x:v>
      </x:c>
      <x:c r="B274" s="44" t="n">
        <x:f>IF(COUNT(C274:D274)=2,SUM(C274:D274),"")</x:f>
        <x:v>296317</x:v>
      </x:c>
      <x:c r="C274" s="44" t="n">
        <x:v>278230</x:v>
      </x:c>
      <x:c r="D274" s="44" t="n">
        <x:v>18087</x:v>
      </x:c>
      <x:c r="E274" s="44" t="n">
        <x:v>22779</x:v>
      </x:c>
      <x:c r="F274" s="44" t="n">
        <x:v>3250</x:v>
      </x:c>
      <x:c r="G274" s="44" t="n">
        <x:v>1980</x:v>
      </x:c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43" t="n">
        <x:v>46107</x:v>
      </x:c>
      <x:c r="B275" s="44" t="n">
        <x:f>IF(COUNT(C275:D275)=2,SUM(C275:D275),"")</x:f>
        <x:v>277531</x:v>
      </x:c>
      <x:c r="C275" s="44" t="n">
        <x:v>260091</x:v>
      </x:c>
      <x:c r="D275" s="44" t="n">
        <x:v>17440</x:v>
      </x:c>
      <x:c r="E275" s="44" t="n">
        <x:v>22779</x:v>
      </x:c>
      <x:c r="F275" s="44" t="n">
        <x:v>3250</x:v>
      </x:c>
      <x:c r="G275" s="44" t="n">
        <x:v>2010</x:v>
      </x:c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43" t="n">
        <x:v>46108</x:v>
      </x:c>
      <x:c r="B276" s="44" t="n">
        <x:f>IF(COUNT(C276:D276)=2,SUM(C276:D276),"")</x:f>
        <x:v>198149</x:v>
      </x:c>
      <x:c r="C276" s="44" t="n">
        <x:v>185585</x:v>
      </x:c>
      <x:c r="D276" s="44" t="n">
        <x:v>12564</x:v>
      </x:c>
      <x:c r="E276" s="44" t="n">
        <x:v>22779</x:v>
      </x:c>
      <x:c r="F276" s="44" t="n">
        <x:v>3250</x:v>
      </x:c>
      <x:c r="G276" s="44" t="n">
        <x:v>1211</x:v>
      </x:c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43" t="n">
        <x:v>46109</x:v>
      </x:c>
      <x:c r="B277" s="44" t="n">
        <x:f>IF(COUNT(C277:D277)=2,SUM(C277:D277),"")</x:f>
        <x:v>253169</x:v>
      </x:c>
      <x:c r="C277" s="44" t="n">
        <x:v>235633</x:v>
      </x:c>
      <x:c r="D277" s="44" t="n">
        <x:v>17536</x:v>
      </x:c>
      <x:c r="E277" s="44" t="n">
        <x:v>22806</x:v>
      </x:c>
      <x:c r="F277" s="44" t="n">
        <x:v>3350</x:v>
      </x:c>
      <x:c r="G277" s="44" t="n">
        <x:v>2244</x:v>
      </x:c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43" t="n">
        <x:v>46110</x:v>
      </x:c>
      <x:c r="B278" s="44" t="n">
        <x:f>IF(COUNT(C278:D278)=2,SUM(C278:D278),"")</x:f>
        <x:v>222633</x:v>
      </x:c>
      <x:c r="C278" s="44" t="n">
        <x:v>207835</x:v>
      </x:c>
      <x:c r="D278" s="44" t="n">
        <x:v>14798</x:v>
      </x:c>
      <x:c r="E278" s="44" t="n">
        <x:v>22806</x:v>
      </x:c>
      <x:c r="F278" s="44" t="n">
        <x:v>3350</x:v>
      </x:c>
      <x:c r="G278" s="44" t="n">
        <x:v>2043</x:v>
      </x:c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43" t="n">
        <x:v>46111</x:v>
      </x:c>
      <x:c r="B279" s="44" t="n">
        <x:f>IF(COUNT(C279:D279)=2,SUM(C279:D279),"")</x:f>
        <x:v>263940</x:v>
      </x:c>
      <x:c r="C279" s="44" t="n">
        <x:v>248048</x:v>
      </x:c>
      <x:c r="D279" s="44" t="n">
        <x:v>15892</x:v>
      </x:c>
      <x:c r="E279" s="44" t="n">
        <x:v>22806</x:v>
      </x:c>
      <x:c r="F279" s="44" t="n">
        <x:v>3350</x:v>
      </x:c>
      <x:c r="G279" s="44" t="n">
        <x:v>2382</x:v>
      </x:c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43" t="n">
        <x:v>46112</x:v>
      </x:c>
      <x:c r="B280" s="44" t="n">
        <x:f>IF(COUNT(C280:D280)=2,SUM(C280:D280),"")</x:f>
        <x:v>291505</x:v>
      </x:c>
      <x:c r="C280" s="44" t="n">
        <x:v>273117</x:v>
      </x:c>
      <x:c r="D280" s="44" t="n">
        <x:v>18388</x:v>
      </x:c>
      <x:c r="E280" s="44" t="n">
        <x:v>22806</x:v>
      </x:c>
      <x:c r="F280" s="44" t="n">
        <x:v>3350</x:v>
      </x:c>
      <x:c r="G280" s="44" t="n">
        <x:v>3285</x:v>
      </x:c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43" t="n">
        <x:v>46113</x:v>
      </x:c>
      <x:c r="B281" s="44" t="n">
        <x:f>IF(COUNT(C281:D281)=2,SUM(C281:D281),"")</x:f>
        <x:v>232711</x:v>
      </x:c>
      <x:c r="C281" s="44" t="n">
        <x:v>219983</x:v>
      </x:c>
      <x:c r="D281" s="44" t="n">
        <x:v>12728</x:v>
      </x:c>
      <x:c r="E281" s="44" t="n">
        <x:v>22806</x:v>
      </x:c>
      <x:c r="F281" s="44" t="n">
        <x:v>3350</x:v>
      </x:c>
      <x:c r="G281" s="44" t="n">
        <x:v>1267</x:v>
      </x:c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43" t="n">
        <x:v>46114</x:v>
      </x:c>
      <x:c r="B282" s="44" t="n">
        <x:f>IF(COUNT(C282:D282)=2,SUM(C282:D282),"")</x:f>
        <x:v>298441</x:v>
      </x:c>
      <x:c r="C282" s="44" t="n">
        <x:v>280391</x:v>
      </x:c>
      <x:c r="D282" s="44" t="n">
        <x:v>18050</x:v>
      </x:c>
      <x:c r="E282" s="44" t="n">
        <x:v>22806</x:v>
      </x:c>
      <x:c r="F282" s="44" t="n">
        <x:v>3350</x:v>
      </x:c>
      <x:c r="G282" s="44" t="n">
        <x:v>1877</x:v>
      </x:c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43" t="n">
        <x:v>46115</x:v>
      </x:c>
      <x:c r="B283" s="44" t="n">
        <x:f>IF(COUNT(C283:D283)=2,SUM(C283:D283),"")</x:f>
        <x:v>160209</x:v>
      </x:c>
      <x:c r="C283" s="44" t="n">
        <x:v>149960</x:v>
      </x:c>
      <x:c r="D283" s="44" t="n">
        <x:v>10249</x:v>
      </x:c>
      <x:c r="E283" s="44" t="n">
        <x:v>22806</x:v>
      </x:c>
      <x:c r="F283" s="44" t="n">
        <x:v>3350</x:v>
      </x:c>
      <x:c r="G283" s="44" t="n">
        <x:v>1031</x:v>
      </x:c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43" t="n">
        <x:v>46116</x:v>
      </x:c>
      <x:c r="B284" s="44" t="n">
        <x:f>IF(COUNT(C284:D284)=2,SUM(C284:D284),"")</x:f>
        <x:v>112752</x:v>
      </x:c>
      <x:c r="C284" s="44" t="n">
        <x:v>106039</x:v>
      </x:c>
      <x:c r="D284" s="44" t="n">
        <x:v>6713</x:v>
      </x:c>
      <x:c r="E284" s="44" t="n">
        <x:v>22806</x:v>
      </x:c>
      <x:c r="F284" s="44" t="n">
        <x:v>3350</x:v>
      </x:c>
      <x:c r="G284" s="44" t="n">
        <x:v>861</x:v>
      </x:c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43" t="n">
        <x:v>46117</x:v>
      </x:c>
      <x:c r="B285" s="44" t="n">
        <x:f>IF(COUNT(C285:D285)=2,SUM(C285:D285),"")</x:f>
        <x:v>205054</x:v>
      </x:c>
      <x:c r="C285" s="44" t="n">
        <x:v>190702</x:v>
      </x:c>
      <x:c r="D285" s="44" t="n">
        <x:v>14352</x:v>
      </x:c>
      <x:c r="E285" s="44" t="n">
        <x:v>22806</x:v>
      </x:c>
      <x:c r="F285" s="44" t="n">
        <x:v>3350</x:v>
      </x:c>
      <x:c r="G285" s="44" t="n">
        <x:v>1502</x:v>
      </x:c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43" t="n">
        <x:v>46118</x:v>
      </x:c>
      <x:c r="B286" s="44" t="n">
        <x:f>IF(COUNT(C286:D286)=2,SUM(C286:D286),"")</x:f>
        <x:v>174441</x:v>
      </x:c>
      <x:c r="C286" s="44" t="n">
        <x:v>164078</x:v>
      </x:c>
      <x:c r="D286" s="44" t="n">
        <x:v>10363</x:v>
      </x:c>
      <x:c r="E286" s="44" t="n">
        <x:v>22806</x:v>
      </x:c>
      <x:c r="F286" s="44" t="n">
        <x:v>3350</x:v>
      </x:c>
      <x:c r="G286" s="44" t="n">
        <x:v>1134</x:v>
      </x:c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43" t="n">
        <x:v>46119</x:v>
      </x:c>
      <x:c r="B287" s="44" t="n">
        <x:f>IF(COUNT(C287:D287)=2,SUM(C287:D287),"")</x:f>
        <x:v>145200</x:v>
      </x:c>
      <x:c r="C287" s="44" t="n">
        <x:v>138005</x:v>
      </x:c>
      <x:c r="D287" s="44" t="n">
        <x:v>7195</x:v>
      </x:c>
      <x:c r="E287" s="44" t="n">
        <x:v>22806</x:v>
      </x:c>
      <x:c r="F287" s="44" t="n">
        <x:v>3350</x:v>
      </x:c>
      <x:c r="G287" s="44" t="n">
        <x:v>772</x:v>
      </x:c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43" t="n">
        <x:v>46120</x:v>
      </x:c>
      <x:c r="B288" s="44" t="n">
        <x:f>IF(COUNT(C288:D288)=2,SUM(C288:D288),"")</x:f>
        <x:v>245369</x:v>
      </x:c>
      <x:c r="C288" s="44" t="n">
        <x:v>232325</x:v>
      </x:c>
      <x:c r="D288" s="44" t="n">
        <x:v>13044</x:v>
      </x:c>
      <x:c r="E288" s="44" t="n">
        <x:v>22806</x:v>
      </x:c>
      <x:c r="F288" s="44" t="n">
        <x:v>3350</x:v>
      </x:c>
      <x:c r="G288" s="44" t="n">
        <x:v>1495</x:v>
      </x:c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43" t="n">
        <x:v>46121</x:v>
      </x:c>
      <x:c r="B289" s="44" t="n">
        <x:f>IF(COUNT(C289:D289)=2,SUM(C289:D289),"")</x:f>
        <x:v>308168</x:v>
      </x:c>
      <x:c r="C289" s="44" t="n">
        <x:v>289362</x:v>
      </x:c>
      <x:c r="D289" s="44" t="n">
        <x:v>18806</x:v>
      </x:c>
      <x:c r="E289" s="44" t="n">
        <x:v>22806</x:v>
      </x:c>
      <x:c r="F289" s="44" t="n">
        <x:v>3350</x:v>
      </x:c>
      <x:c r="G289" s="44" t="n">
        <x:v>1967</x:v>
      </x:c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43" t="n">
        <x:v>46122</x:v>
      </x:c>
      <x:c r="B290" s="44" t="n">
        <x:f>IF(COUNT(C290:D290)=2,SUM(C290:D290),"")</x:f>
        <x:v>318143</x:v>
      </x:c>
      <x:c r="C290" s="44" t="n">
        <x:v>297333</x:v>
      </x:c>
      <x:c r="D290" s="44" t="n">
        <x:v>20810</x:v>
      </x:c>
      <x:c r="E290" s="44" t="n">
        <x:v>22806</x:v>
      </x:c>
      <x:c r="F290" s="44" t="n">
        <x:v>3350</x:v>
      </x:c>
      <x:c r="G290" s="44" t="n">
        <x:v>2006</x:v>
      </x:c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43" t="n">
        <x:v>46123</x:v>
      </x:c>
      <x:c r="B291" s="44" t="n">
        <x:f>IF(COUNT(C291:D291)=2,SUM(C291:D291),"")</x:f>
        <x:v>276029</x:v>
      </x:c>
      <x:c r="C291" s="44" t="n">
        <x:v>257173</x:v>
      </x:c>
      <x:c r="D291" s="44" t="n">
        <x:v>18856</x:v>
      </x:c>
      <x:c r="E291" s="44" t="n">
        <x:v>22806</x:v>
      </x:c>
      <x:c r="F291" s="44" t="n">
        <x:v>3350</x:v>
      </x:c>
      <x:c r="G291" s="44" t="n">
        <x:v>1830</x:v>
      </x:c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43" t="n">
        <x:v>46124</x:v>
      </x:c>
      <x:c r="B292" s="44" t="n">
        <x:f>IF(COUNT(C292:D292)=2,SUM(C292:D292),"")</x:f>
        <x:v>251471</x:v>
      </x:c>
      <x:c r="C292" s="44" t="n">
        <x:v>234707</x:v>
      </x:c>
      <x:c r="D292" s="44" t="n">
        <x:v>16764</x:v>
      </x:c>
      <x:c r="E292" s="44" t="n">
        <x:v>22806</x:v>
      </x:c>
      <x:c r="F292" s="44" t="n">
        <x:v>3350</x:v>
      </x:c>
      <x:c r="G292" s="44" t="n">
        <x:v>1690</x:v>
      </x:c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43" t="n">
        <x:v>46125</x:v>
      </x:c>
      <x:c r="B293" s="44" t="n">
        <x:f>IF(COUNT(C293:D293)=2,SUM(C293:D293),"")</x:f>
        <x:v>289733</x:v>
      </x:c>
      <x:c r="C293" s="44" t="n">
        <x:v>273108</x:v>
      </x:c>
      <x:c r="D293" s="44" t="n">
        <x:v>16625</x:v>
      </x:c>
      <x:c r="E293" s="44" t="n">
        <x:v>22806</x:v>
      </x:c>
      <x:c r="F293" s="44" t="n">
        <x:v>3350</x:v>
      </x:c>
      <x:c r="G293" s="44" t="n">
        <x:v>1747</x:v>
      </x:c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43" t="n">
        <x:v>46126</x:v>
      </x:c>
      <x:c r="B294" s="44" t="n">
        <x:f>IF(COUNT(C294:D294)=2,SUM(C294:D294),"")</x:f>
        <x:v>299500</x:v>
      </x:c>
      <x:c r="C294" s="44" t="n">
        <x:v>281309</x:v>
      </x:c>
      <x:c r="D294" s="44" t="n">
        <x:v>18191</x:v>
      </x:c>
      <x:c r="E294" s="44" t="n">
        <x:v>22806</x:v>
      </x:c>
      <x:c r="F294" s="44" t="n">
        <x:v>3350</x:v>
      </x:c>
      <x:c r="G294" s="44" t="n">
        <x:v>1932</x:v>
      </x:c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43" t="n">
        <x:v>46127</x:v>
      </x:c>
      <x:c r="B295" s="44" t="n">
        <x:f>IF(COUNT(C295:D295)=2,SUM(C295:D295),"")</x:f>
        <x:v>253794</x:v>
      </x:c>
      <x:c r="C295" s="44" t="n">
        <x:v>238281</x:v>
      </x:c>
      <x:c r="D295" s="44" t="n">
        <x:v>15513</x:v>
      </x:c>
      <x:c r="E295" s="44" t="n">
        <x:v>22806</x:v>
      </x:c>
      <x:c r="F295" s="44" t="n">
        <x:v>3350</x:v>
      </x:c>
      <x:c r="G295" s="44" t="n">
        <x:v>1725</x:v>
      </x:c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43" t="n">
        <x:v>46128</x:v>
      </x:c>
      <x:c r="B296" s="44" t="n">
        <x:f>IF(COUNT(C296:D296)=2,SUM(C296:D296),"")</x:f>
        <x:v>255419</x:v>
      </x:c>
      <x:c r="C296" s="44" t="n">
        <x:v>239368</x:v>
      </x:c>
      <x:c r="D296" s="44" t="n">
        <x:v>16051</x:v>
      </x:c>
      <x:c r="E296" s="44" t="n">
        <x:v>22806</x:v>
      </x:c>
      <x:c r="F296" s="44" t="n">
        <x:v>3350</x:v>
      </x:c>
      <x:c r="G296" s="44" t="n">
        <x:v>1746</x:v>
      </x:c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43" t="n">
        <x:v>46129</x:v>
      </x:c>
      <x:c r="B297" s="44" t="n">
        <x:f>IF(COUNT(C297:D297)=2,SUM(C297:D297),"")</x:f>
        <x:v>314735</x:v>
      </x:c>
      <x:c r="C297" s="44" t="n">
        <x:v>293825</x:v>
      </x:c>
      <x:c r="D297" s="44" t="n">
        <x:v>20910</x:v>
      </x:c>
      <x:c r="E297" s="44" t="n">
        <x:v>22806</x:v>
      </x:c>
      <x:c r="F297" s="44" t="n">
        <x:v>3350</x:v>
      </x:c>
      <x:c r="G297" s="44" t="n">
        <x:v>2159</x:v>
      </x:c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43" t="n">
        <x:v>46130</x:v>
      </x:c>
      <x:c r="B298" s="44" t="n">
        <x:f>IF(COUNT(C298:D298)=2,SUM(C298:D298),"")</x:f>
        <x:v>258263</x:v>
      </x:c>
      <x:c r="C298" s="44" t="n">
        <x:v>240715</x:v>
      </x:c>
      <x:c r="D298" s="44" t="n">
        <x:v>17548</x:v>
      </x:c>
      <x:c r="E298" s="44" t="n">
        <x:v>22806</x:v>
      </x:c>
      <x:c r="F298" s="44" t="n">
        <x:v>3350</x:v>
      </x:c>
      <x:c r="G298" s="44" t="n">
        <x:v>1903</x:v>
      </x:c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43" t="n">
        <x:v>46131</x:v>
      </x:c>
      <x:c r="B299" s="44" t="n">
        <x:f>IF(COUNT(C299:D299)=2,SUM(C299:D299),"")</x:f>
        <x:v>253827</x:v>
      </x:c>
      <x:c r="C299" s="44" t="n">
        <x:v>236449</x:v>
      </x:c>
      <x:c r="D299" s="44" t="n">
        <x:v>17378</x:v>
      </x:c>
      <x:c r="E299" s="44" t="n">
        <x:v>22806</x:v>
      </x:c>
      <x:c r="F299" s="44" t="n">
        <x:v>3350</x:v>
      </x:c>
      <x:c r="G299" s="44" t="n">
        <x:v>1865</x:v>
      </x:c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43" t="n">
        <x:v>46132</x:v>
      </x:c>
      <x:c r="B300" s="44" t="n">
        <x:f>IF(COUNT(C300:D300)=2,SUM(C300:D300),"")</x:f>
        <x:v>294729</x:v>
      </x:c>
      <x:c r="C300" s="44" t="n">
        <x:v>276660</x:v>
      </x:c>
      <x:c r="D300" s="44" t="n">
        <x:v>18069</x:v>
      </x:c>
      <x:c r="E300" s="44" t="n">
        <x:v>22806</x:v>
      </x:c>
      <x:c r="F300" s="44" t="n">
        <x:v>3350</x:v>
      </x:c>
      <x:c r="G300" s="44" t="n">
        <x:v>1961</x:v>
      </x:c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43" t="n">
        <x:v>46133</x:v>
      </x:c>
      <x:c r="B301" s="44" t="n">
        <x:f>IF(COUNT(C301:D301)=2,SUM(C301:D301),"")</x:f>
        <x:v>306458</x:v>
      </x:c>
      <x:c r="C301" s="44" t="n">
        <x:v>288387</x:v>
      </x:c>
      <x:c r="D301" s="44" t="n">
        <x:v>18071</x:v>
      </x:c>
      <x:c r="E301" s="44" t="n">
        <x:v>22806</x:v>
      </x:c>
      <x:c r="F301" s="44" t="n">
        <x:v>3350</x:v>
      </x:c>
      <x:c r="G301" s="44" t="n">
        <x:v>2005</x:v>
      </x:c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43" t="n">
        <x:v>46134</x:v>
      </x:c>
      <x:c r="B302" s="44" t="n">
        <x:f>IF(COUNT(C302:D302)=2,SUM(C302:D302),"")</x:f>
        <x:v>309028</x:v>
      </x:c>
      <x:c r="C302" s="44" t="n">
        <x:v>290283</x:v>
      </x:c>
      <x:c r="D302" s="44" t="n">
        <x:v>18745</x:v>
      </x:c>
      <x:c r="E302" s="44" t="n">
        <x:v>22806</x:v>
      </x:c>
      <x:c r="F302" s="44" t="n">
        <x:v>3350</x:v>
      </x:c>
      <x:c r="G302" s="44" t="n">
        <x:v>1980</x:v>
      </x:c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43" t="n">
        <x:v>46135</x:v>
      </x:c>
      <x:c r="B303" s="44" t="n">
        <x:f>IF(COUNT(C303:D303)=2,SUM(C303:D303),"")</x:f>
        <x:v>190640</x:v>
      </x:c>
      <x:c r="C303" s="44" t="n">
        <x:v>179477</x:v>
      </x:c>
      <x:c r="D303" s="44" t="n">
        <x:v>11163</x:v>
      </x:c>
      <x:c r="E303" s="44" t="n">
        <x:v>22806</x:v>
      </x:c>
      <x:c r="F303" s="44" t="n">
        <x:v>3350</x:v>
      </x:c>
      <x:c r="G303" s="44" t="n">
        <x:v>1379</x:v>
      </x:c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43" t="n">
        <x:v>46136</x:v>
      </x:c>
      <x:c r="B304" s="44" t="n">
        <x:f>IF(COUNT(C304:D304)=2,SUM(C304:D304),"")</x:f>
        <x:v>136872</x:v>
      </x:c>
      <x:c r="C304" s="44" t="n">
        <x:v>129844</x:v>
      </x:c>
      <x:c r="D304" s="44" t="n">
        <x:v>7028</x:v>
      </x:c>
      <x:c r="E304" s="44" t="n">
        <x:v>22806</x:v>
      </x:c>
      <x:c r="F304" s="44" t="n">
        <x:v>3350</x:v>
      </x:c>
      <x:c r="G304" s="44" t="n">
        <x:v>973</x:v>
      </x:c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43" t="n">
        <x:v>46137</x:v>
      </x:c>
      <x:c r="B305" s="44" t="n">
        <x:f>IF(COUNT(C305:D305)=2,SUM(C305:D305),"")</x:f>
        <x:v>170811</x:v>
      </x:c>
      <x:c r="C305" s="44" t="n">
        <x:v>160570</x:v>
      </x:c>
      <x:c r="D305" s="44" t="n">
        <x:v>10241</x:v>
      </x:c>
      <x:c r="E305" s="44" t="n">
        <x:v>22806</x:v>
      </x:c>
      <x:c r="F305" s="44" t="n">
        <x:v>3350</x:v>
      </x:c>
      <x:c r="G305" s="44" t="n">
        <x:v>1392</x:v>
      </x:c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43" t="n">
        <x:v>46138</x:v>
      </x:c>
      <x:c r="B306" s="44" t="n">
        <x:f>IF(COUNT(C306:D306)=2,SUM(C306:D306),"")</x:f>
        <x:v>262066</x:v>
      </x:c>
      <x:c r="C306" s="44" t="n">
        <x:v>243326</x:v>
      </x:c>
      <x:c r="D306" s="44" t="n">
        <x:v>18740</x:v>
      </x:c>
      <x:c r="E306" s="44" t="n">
        <x:v>22806</x:v>
      </x:c>
      <x:c r="F306" s="44" t="n">
        <x:v>3350</x:v>
      </x:c>
      <x:c r="G306" s="44" t="n">
        <x:v>2266</x:v>
      </x:c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43" t="n">
        <x:v>46139</x:v>
      </x:c>
      <x:c r="B307" s="44" t="n">
        <x:f>IF(COUNT(C307:D307)=2,SUM(C307:D307),"")</x:f>
        <x:v>304022</x:v>
      </x:c>
      <x:c r="C307" s="44" t="n">
        <x:v>285423</x:v>
      </x:c>
      <x:c r="D307" s="44" t="n">
        <x:v>18599</x:v>
      </x:c>
      <x:c r="E307" s="44" t="n">
        <x:v>22806</x:v>
      </x:c>
      <x:c r="F307" s="44" t="n">
        <x:v>3350</x:v>
      </x:c>
      <x:c r="G307" s="44" t="n">
        <x:v>2402</x:v>
      </x:c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43" t="n">
        <x:v>46140</x:v>
      </x:c>
      <x:c r="B308" s="44" t="n">
        <x:f>IF(COUNT(C308:D308)=2,SUM(C308:D308),"")</x:f>
        <x:v>315765</x:v>
      </x:c>
      <x:c r="C308" s="44" t="n">
        <x:v>296433</x:v>
      </x:c>
      <x:c r="D308" s="44" t="n">
        <x:v>19332</x:v>
      </x:c>
      <x:c r="E308" s="44" t="n">
        <x:v>22806</x:v>
      </x:c>
      <x:c r="F308" s="44" t="n">
        <x:v>3350</x:v>
      </x:c>
      <x:c r="G308" s="44" t="n">
        <x:v>2696</x:v>
      </x:c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43" t="n">
        <x:v>46141</x:v>
      </x:c>
      <x:c r="B309" s="44" t="n">
        <x:f>IF(COUNT(C309:D309)=2,SUM(C309:D309),"")</x:f>
        <x:v>256874</x:v>
      </x:c>
      <x:c r="C309" s="44" t="n">
        <x:v>241336</x:v>
      </x:c>
      <x:c r="D309" s="44" t="n">
        <x:v>15538</x:v>
      </x:c>
      <x:c r="E309" s="44" t="n">
        <x:v>22806</x:v>
      </x:c>
      <x:c r="F309" s="44" t="n">
        <x:v>3350</x:v>
      </x:c>
      <x:c r="G309" s="44" t="n">
        <x:v>2413</x:v>
      </x:c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43" t="n">
        <x:v>46142</x:v>
      </x:c>
      <x:c r="B310" s="44" t="n">
        <x:f>IF(COUNT(C310:D310)=2,SUM(C310:D310),"")</x:f>
        <x:v>188514</x:v>
      </x:c>
      <x:c r="C310" s="44" t="n">
        <x:v>177605</x:v>
      </x:c>
      <x:c r="D310" s="44" t="n">
        <x:v>10909</x:v>
      </x:c>
      <x:c r="E310" s="44" t="n">
        <x:v>22806</x:v>
      </x:c>
      <x:c r="F310" s="44" t="n">
        <x:v>3350</x:v>
      </x:c>
      <x:c r="G310" s="44" t="n">
        <x:v>1963</x:v>
      </x:c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43" t="n">
        <x:v>46143</x:v>
      </x:c>
      <x:c r="B311" s="44" t="n">
        <x:f>IF(COUNT(C311:D311)=2,SUM(C311:D311),"")</x:f>
        <x:v>244079</x:v>
      </x:c>
      <x:c r="C311" s="44" t="n">
        <x:v>227737</x:v>
      </x:c>
      <x:c r="D311" s="44" t="n">
        <x:v>16342</x:v>
      </x:c>
      <x:c r="E311" s="44" t="n">
        <x:v>22873</x:v>
      </x:c>
      <x:c r="F311" s="44" t="n">
        <x:v>3600</x:v>
      </x:c>
      <x:c r="G311" s="44" t="n">
        <x:v>1750</x:v>
      </x:c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43" t="n">
        <x:v>46144</x:v>
      </x:c>
      <x:c r="B312" s="44" t="n">
        <x:f>IF(COUNT(C312:D312)=2,SUM(C312:D312),"")</x:f>
        <x:v>255596</x:v>
      </x:c>
      <x:c r="C312" s="44" t="n">
        <x:v>237384</x:v>
      </x:c>
      <x:c r="D312" s="44" t="n">
        <x:v>18212</x:v>
      </x:c>
      <x:c r="E312" s="44" t="n">
        <x:v>22873</x:v>
      </x:c>
      <x:c r="F312" s="44" t="n">
        <x:v>3600</x:v>
      </x:c>
      <x:c r="G312" s="44" t="n">
        <x:v>1867</x:v>
      </x:c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43" t="n">
        <x:v>46145</x:v>
      </x:c>
      <x:c r="B313" s="44" t="n">
        <x:f>IF(COUNT(C313:D313)=2,SUM(C313:D313),"")</x:f>
        <x:v>240733</x:v>
      </x:c>
      <x:c r="C313" s="44" t="n">
        <x:v>225203</x:v>
      </x:c>
      <x:c r="D313" s="44" t="n">
        <x:v>15530</x:v>
      </x:c>
      <x:c r="E313" s="44" t="n">
        <x:v>22873</x:v>
      </x:c>
      <x:c r="F313" s="44" t="n">
        <x:v>3600</x:v>
      </x:c>
      <x:c r="G313" s="44" t="n">
        <x:v>1672</x:v>
      </x:c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43" t="n">
        <x:v>46146</x:v>
      </x:c>
      <x:c r="B314" s="44" t="n">
        <x:f>IF(COUNT(C314:D314)=2,SUM(C314:D314),"")</x:f>
        <x:v>179100</x:v>
      </x:c>
      <x:c r="C314" s="44" t="n">
        <x:v>169618</x:v>
      </x:c>
      <x:c r="D314" s="44" t="n">
        <x:v>9482</x:v>
      </x:c>
      <x:c r="E314" s="44" t="n">
        <x:v>22873</x:v>
      </x:c>
      <x:c r="F314" s="44" t="n">
        <x:v>3600</x:v>
      </x:c>
      <x:c r="G314" s="44" t="n">
        <x:v>1174</x:v>
      </x:c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43" t="n">
        <x:v>46147</x:v>
      </x:c>
      <x:c r="B315" s="44" t="n">
        <x:f>IF(COUNT(C315:D315)=2,SUM(C315:D315),"")</x:f>
        <x:v>63414</x:v>
      </x:c>
      <x:c r="C315" s="44" t="n">
        <x:v>60142</x:v>
      </x:c>
      <x:c r="D315" s="44" t="n">
        <x:v>3272</x:v>
      </x:c>
      <x:c r="E315" s="44" t="n">
        <x:v>22873</x:v>
      </x:c>
      <x:c r="F315" s="44" t="n">
        <x:v>3600</x:v>
      </x:c>
      <x:c r="G315" s="44" t="n">
        <x:v>423</x:v>
      </x:c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43" t="n">
        <x:v>46148</x:v>
      </x:c>
      <x:c r="B316" s="44" t="n">
        <x:f>IF(COUNT(C316:D316)=2,SUM(C316:D316),"")</x:f>
        <x:v>318830</x:v>
      </x:c>
      <x:c r="C316" s="44" t="n">
        <x:v>299380</x:v>
      </x:c>
      <x:c r="D316" s="44" t="n">
        <x:v>19450</x:v>
      </x:c>
      <x:c r="E316" s="44" t="n">
        <x:v>22873</x:v>
      </x:c>
      <x:c r="F316" s="44" t="n">
        <x:v>3600</x:v>
      </x:c>
      <x:c r="G316" s="44" t="n">
        <x:v>2197</x:v>
      </x:c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43" t="n">
        <x:v>46149</x:v>
      </x:c>
      <x:c r="B317" s="44" t="n">
        <x:f>IF(COUNT(C317:D317)=2,SUM(C317:D317),"")</x:f>
        <x:v>294989</x:v>
      </x:c>
      <x:c r="C317" s="44" t="n">
        <x:v>276407</x:v>
      </x:c>
      <x:c r="D317" s="44" t="n">
        <x:v>18582</x:v>
      </x:c>
      <x:c r="E317" s="44" t="n">
        <x:v>22873</x:v>
      </x:c>
      <x:c r="F317" s="44" t="n">
        <x:v>3600</x:v>
      </x:c>
      <x:c r="G317" s="44" t="n">
        <x:v>1941</x:v>
      </x:c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43" t="n">
        <x:v>46150</x:v>
      </x:c>
      <x:c r="B318" s="44" t="n">
        <x:f>IF(COUNT(C318:D318)=2,SUM(C318:D318),"")</x:f>
        <x:v>299665</x:v>
      </x:c>
      <x:c r="C318" s="44" t="n">
        <x:v>281108</x:v>
      </x:c>
      <x:c r="D318" s="44" t="n">
        <x:v>18557</x:v>
      </x:c>
      <x:c r="E318" s="44" t="n">
        <x:v>22873</x:v>
      </x:c>
      <x:c r="F318" s="44" t="n">
        <x:v>3600</x:v>
      </x:c>
      <x:c r="G318" s="44" t="n">
        <x:v>1895</x:v>
      </x:c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43" t="n">
        <x:v>46151</x:v>
      </x:c>
      <x:c r="B319" s="44" t="n">
        <x:f>IF(COUNT(C319:D319)=2,SUM(C319:D319),"")</x:f>
        <x:v>191757</x:v>
      </x:c>
      <x:c r="C319" s="44" t="n">
        <x:v>179661</x:v>
      </x:c>
      <x:c r="D319" s="44" t="n">
        <x:v>12096</x:v>
      </x:c>
      <x:c r="E319" s="44" t="n">
        <x:v>22873</x:v>
      </x:c>
      <x:c r="F319" s="44" t="n">
        <x:v>3600</x:v>
      </x:c>
      <x:c r="G319" s="44" t="n">
        <x:v>1306</x:v>
      </x:c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43" t="n">
        <x:v>46152</x:v>
      </x:c>
      <x:c r="B320" s="44" t="n">
        <x:f>IF(COUNT(C320:D320)=2,SUM(C320:D320),"")</x:f>
        <x:v>222901</x:v>
      </x:c>
      <x:c r="C320" s="44" t="n">
        <x:v>208386</x:v>
      </x:c>
      <x:c r="D320" s="44" t="n">
        <x:v>14515</x:v>
      </x:c>
      <x:c r="E320" s="44" t="n">
        <x:v>22873</x:v>
      </x:c>
      <x:c r="F320" s="44" t="n">
        <x:v>3600</x:v>
      </x:c>
      <x:c r="G320" s="44" t="n">
        <x:v>1682</x:v>
      </x:c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43" t="n">
        <x:v>46153</x:v>
      </x:c>
      <x:c r="B321" s="44" t="n">
        <x:f>IF(COUNT(C321:D321)=2,SUM(C321:D321),"")</x:f>
        <x:v>299178</x:v>
      </x:c>
      <x:c r="C321" s="44" t="n">
        <x:v>281464</x:v>
      </x:c>
      <x:c r="D321" s="44" t="n">
        <x:v>17714</x:v>
      </x:c>
      <x:c r="E321" s="44" t="n">
        <x:v>22873</x:v>
      </x:c>
      <x:c r="F321" s="44" t="n">
        <x:v>3600</x:v>
      </x:c>
      <x:c r="G321" s="44" t="n">
        <x:v>1900</x:v>
      </x:c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43" t="n">
        <x:v>46154</x:v>
      </x:c>
      <x:c r="B322" s="44" t="n">
        <x:f>IF(COUNT(C322:D322)=2,SUM(C322:D322),"")</x:f>
        <x:v>314022</x:v>
      </x:c>
      <x:c r="C322" s="44" t="n">
        <x:v>294790</x:v>
      </x:c>
      <x:c r="D322" s="44" t="n">
        <x:v>19232</x:v>
      </x:c>
      <x:c r="E322" s="44" t="n">
        <x:v>22873</x:v>
      </x:c>
      <x:c r="F322" s="44" t="n">
        <x:v>3600</x:v>
      </x:c>
      <x:c r="G322" s="44" t="n">
        <x:v>2141</x:v>
      </x:c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43" t="n">
        <x:v>46155</x:v>
      </x:c>
      <x:c r="B323" s="44" t="n">
        <x:f>IF(COUNT(C323:D323)=2,SUM(C323:D323),"")</x:f>
        <x:v>156893</x:v>
      </x:c>
      <x:c r="C323" s="44" t="n">
        <x:v>147229</x:v>
      </x:c>
      <x:c r="D323" s="44" t="n">
        <x:v>9664</x:v>
      </x:c>
      <x:c r="E323" s="44" t="n">
        <x:v>22873</x:v>
      </x:c>
      <x:c r="F323" s="44" t="n">
        <x:v>3600</x:v>
      </x:c>
      <x:c r="G323" s="44" t="n">
        <x:v>1203</x:v>
      </x:c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43" t="n">
        <x:v>46156</x:v>
      </x:c>
      <x:c r="B324" s="44" t="n">
        <x:f>IF(COUNT(C324:D324)=2,SUM(C324:D324),"")</x:f>
        <x:v>215859</x:v>
      </x:c>
      <x:c r="C324" s="44" t="n">
        <x:v>203003</x:v>
      </x:c>
      <x:c r="D324" s="44" t="n">
        <x:v>12856</x:v>
      </x:c>
      <x:c r="E324" s="44" t="n">
        <x:v>22873</x:v>
      </x:c>
      <x:c r="F324" s="44" t="n">
        <x:v>3600</x:v>
      </x:c>
      <x:c r="G324" s="44" t="n">
        <x:v>1163</x:v>
      </x:c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43" t="n">
        <x:v>46157</x:v>
      </x:c>
      <x:c r="B325" s="44" t="n">
        <x:f>IF(COUNT(C325:D325)=2,SUM(C325:D325),"")</x:f>
        <x:v>334749</x:v>
      </x:c>
      <x:c r="C325" s="44" t="n">
        <x:v>312040</x:v>
      </x:c>
      <x:c r="D325" s="44" t="n">
        <x:v>22709</x:v>
      </x:c>
      <x:c r="E325" s="44" t="n">
        <x:v>22873</x:v>
      </x:c>
      <x:c r="F325" s="44" t="n">
        <x:v>3600</x:v>
      </x:c>
      <x:c r="G325" s="44" t="n">
        <x:v>2262</x:v>
      </x:c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43" t="n">
        <x:v>46158</x:v>
      </x:c>
      <x:c r="B326" s="44" t="n">
        <x:f>IF(COUNT(C326:D326)=2,SUM(C326:D326),"")</x:f>
        <x:v>282538</x:v>
      </x:c>
      <x:c r="C326" s="44" t="n">
        <x:v>261660</x:v>
      </x:c>
      <x:c r="D326" s="44" t="n">
        <x:v>20878</x:v>
      </x:c>
      <x:c r="E326" s="44" t="n">
        <x:v>22873</x:v>
      </x:c>
      <x:c r="F326" s="44" t="n">
        <x:v>3600</x:v>
      </x:c>
      <x:c r="G326" s="44" t="n">
        <x:v>2009</x:v>
      </x:c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43" t="n">
        <x:v>46159</x:v>
      </x:c>
      <x:c r="B327" s="44" t="n">
        <x:f>IF(COUNT(C327:D327)=2,SUM(C327:D327),"")</x:f>
        <x:v>260205</x:v>
      </x:c>
      <x:c r="C327" s="44" t="n">
        <x:v>241767</x:v>
      </x:c>
      <x:c r="D327" s="44" t="n">
        <x:v>18438</x:v>
      </x:c>
      <x:c r="E327" s="44" t="n">
        <x:v>22873</x:v>
      </x:c>
      <x:c r="F327" s="44" t="n">
        <x:v>3600</x:v>
      </x:c>
      <x:c r="G327" s="44" t="n">
        <x:v>1836</x:v>
      </x:c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43" t="n">
        <x:v>46160</x:v>
      </x:c>
      <x:c r="B328" s="44" t="n">
        <x:f>IF(COUNT(C328:D328)=2,SUM(C328:D328),"")</x:f>
        <x:v>300723</x:v>
      </x:c>
      <x:c r="C328" s="44" t="n">
        <x:v>282983</x:v>
      </x:c>
      <x:c r="D328" s="44" t="n">
        <x:v>17740</x:v>
      </x:c>
      <x:c r="E328" s="44" t="n">
        <x:v>22873</x:v>
      </x:c>
      <x:c r="F328" s="44" t="n">
        <x:v>3600</x:v>
      </x:c>
      <x:c r="G328" s="44" t="n">
        <x:v>1852</x:v>
      </x:c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43" t="n">
        <x:v>46161</x:v>
      </x:c>
      <x:c r="B329" s="44" t="n">
        <x:f>IF(COUNT(C329:D329)=2,SUM(C329:D329),"")</x:f>
        <x:v>310627</x:v>
      </x:c>
      <x:c r="C329" s="44" t="n">
        <x:v>292219</x:v>
      </x:c>
      <x:c r="D329" s="44" t="n">
        <x:v>18408</x:v>
      </x:c>
      <x:c r="E329" s="44" t="n">
        <x:v>22873</x:v>
      </x:c>
      <x:c r="F329" s="44" t="n">
        <x:v>3600</x:v>
      </x:c>
      <x:c r="G329" s="44" t="n">
        <x:v>1981</x:v>
      </x:c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43" t="n">
        <x:v>46162</x:v>
      </x:c>
      <x:c r="B330" s="44" t="n">
        <x:f>IF(COUNT(C330:D330)=2,SUM(C330:D330),"")</x:f>
        <x:v>310537</x:v>
      </x:c>
      <x:c r="C330" s="44" t="n">
        <x:v>290026</x:v>
      </x:c>
      <x:c r="D330" s="44" t="n">
        <x:v>20511</x:v>
      </x:c>
      <x:c r="E330" s="44" t="n">
        <x:v>22873</x:v>
      </x:c>
      <x:c r="F330" s="44" t="n">
        <x:v>3600</x:v>
      </x:c>
      <x:c r="G330" s="44" t="n">
        <x:v>2087</x:v>
      </x:c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43" t="n">
        <x:v>46163</x:v>
      </x:c>
      <x:c r="B331" s="44" t="n">
        <x:f>IF(COUNT(C331:D331)=2,SUM(C331:D331),"")</x:f>
        <x:v>294941</x:v>
      </x:c>
      <x:c r="C331" s="44" t="n">
        <x:v>274996</x:v>
      </x:c>
      <x:c r="D331" s="44" t="n">
        <x:v>19945</x:v>
      </x:c>
      <x:c r="E331" s="44" t="n">
        <x:v>22873</x:v>
      </x:c>
      <x:c r="F331" s="44" t="n">
        <x:v>3600</x:v>
      </x:c>
      <x:c r="G331" s="44" t="n">
        <x:v>2097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43" t="n">
        <x:v>46164</x:v>
      </x:c>
      <x:c r="B332" s="44" t="n">
        <x:f>IF(COUNT(C332:D332)=2,SUM(C332:D332),"")</x:f>
        <x:v>322412</x:v>
      </x:c>
      <x:c r="C332" s="44" t="n">
        <x:v>300292</x:v>
      </x:c>
      <x:c r="D332" s="44" t="n">
        <x:v>22120</x:v>
      </x:c>
      <x:c r="E332" s="44" t="n">
        <x:v>22888</x:v>
      </x:c>
      <x:c r="F332" s="44" t="n">
        <x:v>3600</x:v>
      </x:c>
      <x:c r="G332" s="44" t="n">
        <x:v>2213</x:v>
      </x:c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43" t="n">
        <x:v>46165</x:v>
      </x:c>
      <x:c r="B333" s="44" t="n">
        <x:f>IF(COUNT(C333:D333)=2,SUM(C333:D333),"")</x:f>
        <x:v>272125</x:v>
      </x:c>
      <x:c r="C333" s="44" t="n">
        <x:v>251273</x:v>
      </x:c>
      <x:c r="D333" s="44" t="n">
        <x:v>20852</x:v>
      </x:c>
      <x:c r="E333" s="44" t="n">
        <x:v>22888</x:v>
      </x:c>
      <x:c r="F333" s="44" t="n">
        <x:v>3600</x:v>
      </x:c>
      <x:c r="G333" s="44" t="n">
        <x:v>2097</x:v>
      </x:c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43" t="n">
        <x:v>46166</x:v>
      </x:c>
      <x:c r="B334" s="44" t="n">
        <x:f>IF(COUNT(C334:D334)=2,SUM(C334:D334),"")</x:f>
        <x:v>247792</x:v>
      </x:c>
      <x:c r="C334" s="44" t="n">
        <x:v>230406</x:v>
      </x:c>
      <x:c r="D334" s="44" t="n">
        <x:v>17386</x:v>
      </x:c>
      <x:c r="E334" s="44" t="n">
        <x:v>22888</x:v>
      </x:c>
      <x:c r="F334" s="44" t="n">
        <x:v>3600</x:v>
      </x:c>
      <x:c r="G334" s="44" t="n">
        <x:v>1935</x:v>
      </x:c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43" t="n">
        <x:v>46167</x:v>
      </x:c>
      <x:c r="B335" s="44" t="n">
        <x:f>IF(COUNT(C335:D335)=2,SUM(C335:D335),"")</x:f>
        <x:v>294911</x:v>
      </x:c>
      <x:c r="C335" s="44" t="n">
        <x:v>275909</x:v>
      </x:c>
      <x:c r="D335" s="44" t="n">
        <x:v>19002</x:v>
      </x:c>
      <x:c r="E335" s="44" t="n">
        <x:v>22888</x:v>
      </x:c>
      <x:c r="F335" s="44" t="n">
        <x:v>3600</x:v>
      </x:c>
      <x:c r="G335" s="44" t="n">
        <x:v>1977</x:v>
      </x:c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43" t="n">
        <x:v>46168</x:v>
      </x:c>
      <x:c r="B336" s="44" t="n">
        <x:f>IF(COUNT(C336:D336)=2,SUM(C336:D336),"")</x:f>
        <x:v>304344</x:v>
      </x:c>
      <x:c r="C336" s="44" t="n">
        <x:v>284655</x:v>
      </x:c>
      <x:c r="D336" s="44" t="n">
        <x:v>19689</x:v>
      </x:c>
      <x:c r="E336" s="44" t="n">
        <x:v>22888</x:v>
      </x:c>
      <x:c r="F336" s="44" t="n">
        <x:v>3600</x:v>
      </x:c>
      <x:c r="G336" s="44" t="n">
        <x:v>2078</x:v>
      </x:c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43" t="n">
        <x:v>46169</x:v>
      </x:c>
      <x:c r="B337" s="44" t="n">
        <x:f>IF(COUNT(C337:D337)=2,SUM(C337:D337),"")</x:f>
        <x:v>299524</x:v>
      </x:c>
      <x:c r="C337" s="44" t="n">
        <x:v>278856</x:v>
      </x:c>
      <x:c r="D337" s="44" t="n">
        <x:v>20668</x:v>
      </x:c>
      <x:c r="E337" s="44" t="n">
        <x:v>22888</x:v>
      </x:c>
      <x:c r="F337" s="44" t="n">
        <x:v>3600</x:v>
      </x:c>
      <x:c r="G337" s="44" t="n">
        <x:v>2198</x:v>
      </x:c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43" t="n">
        <x:v>46170</x:v>
      </x:c>
      <x:c r="B338" s="44" t="n">
        <x:f>IF(COUNT(C338:D338)=2,SUM(C338:D338),"")</x:f>
        <x:v>301895</x:v>
      </x:c>
      <x:c r="C338" s="44" t="n">
        <x:v>280849</x:v>
      </x:c>
      <x:c r="D338" s="44" t="n">
        <x:v>21046</x:v>
      </x:c>
      <x:c r="E338" s="44" t="n">
        <x:v>22888</x:v>
      </x:c>
      <x:c r="F338" s="44" t="n">
        <x:v>3600</x:v>
      </x:c>
      <x:c r="G338" s="44" t="n">
        <x:v>2361</x:v>
      </x:c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43" t="n">
        <x:v>46171</x:v>
      </x:c>
      <x:c r="B339" s="44" t="n">
        <x:f>IF(COUNT(C339:D339)=2,SUM(C339:D339),"")</x:f>
        <x:v>243458</x:v>
      </x:c>
      <x:c r="C339" s="44" t="n">
        <x:v>225687</x:v>
      </x:c>
      <x:c r="D339" s="44" t="n">
        <x:v>17771</x:v>
      </x:c>
      <x:c r="E339" s="44" t="n">
        <x:v>22888</x:v>
      </x:c>
      <x:c r="F339" s="44" t="n">
        <x:v>3600</x:v>
      </x:c>
      <x:c r="G339" s="44" t="n">
        <x:v>2124</x:v>
      </x:c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43" t="n">
        <x:v>46172</x:v>
      </x:c>
      <x:c r="B340" s="44" t="n">
        <x:f>IF(COUNT(C340:D340)=2,SUM(C340:D340),"")</x:f>
        <x:v>269637</x:v>
      </x:c>
      <x:c r="C340" s="44" t="n">
        <x:v>248744</x:v>
      </x:c>
      <x:c r="D340" s="44" t="n">
        <x:v>20893</x:v>
      </x:c>
      <x:c r="E340" s="44" t="n">
        <x:v>22955</x:v>
      </x:c>
      <x:c r="F340" s="44" t="n">
        <x:v>3850</x:v>
      </x:c>
      <x:c r="G340" s="44" t="n">
        <x:v>2785</x:v>
      </x:c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43" t="n">
        <x:v>46173</x:v>
      </x:c>
      <x:c r="B341" s="44" t="n">
        <x:f>IF(COUNT(C341:D341)=2,SUM(C341:D341),"")</x:f>
        <x:v>250545</x:v>
      </x:c>
      <x:c r="C341" s="44" t="n">
        <x:v>230955</x:v>
      </x:c>
      <x:c r="D341" s="44" t="n">
        <x:v>19590</x:v>
      </x:c>
      <x:c r="E341" s="44" t="n">
        <x:v>22955</x:v>
      </x:c>
      <x:c r="F341" s="44" t="n">
        <x:v>3850</x:v>
      </x:c>
      <x:c r="G341" s="44" t="n">
        <x:v>3072</x:v>
      </x:c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43" t="n">
        <x:v>46174</x:v>
      </x:c>
      <x:c r="B342" s="44" t="n">
        <x:f>IF(COUNT(C342:D342)=2,SUM(C342:D342),"")</x:f>
        <x:v>306065</x:v>
      </x:c>
      <x:c r="C342" s="44" t="n">
        <x:v>286097</x:v>
      </x:c>
      <x:c r="D342" s="44" t="n">
        <x:v>19968</x:v>
      </x:c>
      <x:c r="E342" s="44" t="n">
        <x:v>22955</x:v>
      </x:c>
      <x:c r="F342" s="44" t="n">
        <x:v>3850</x:v>
      </x:c>
      <x:c r="G342" s="44" t="n">
        <x:v>1995</x:v>
      </x:c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43" t="n">
        <x:v>46175</x:v>
      </x:c>
      <x:c r="B343" s="44" t="n">
        <x:f>IF(COUNT(C343:D343)=2,SUM(C343:D343),"")</x:f>
        <x:v>304752</x:v>
      </x:c>
      <x:c r="C343" s="44" t="n">
        <x:v>283945</x:v>
      </x:c>
      <x:c r="D343" s="44" t="n">
        <x:v>20807</x:v>
      </x:c>
      <x:c r="E343" s="44" t="n">
        <x:v>22955</x:v>
      </x:c>
      <x:c r="F343" s="44" t="n">
        <x:v>3850</x:v>
      </x:c>
      <x:c r="G343" s="44" t="n">
        <x:v>2071</x:v>
      </x:c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43" t="n">
        <x:v>46176</x:v>
      </x:c>
      <x:c r="B344" s="44" t="n">
        <x:f>IF(COUNT(C344:D344)=2,SUM(C344:D344),"")</x:f>
        <x:v>296968</x:v>
      </x:c>
      <x:c r="C344" s="44" t="n">
        <x:v>275501</x:v>
      </x:c>
      <x:c r="D344" s="44" t="n">
        <x:v>21467</x:v>
      </x:c>
      <x:c r="E344" s="44" t="n">
        <x:v>22955</x:v>
      </x:c>
      <x:c r="F344" s="44" t="n">
        <x:v>3850</x:v>
      </x:c>
      <x:c r="G344" s="44" t="n">
        <x:v>2055</x:v>
      </x:c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43" t="n">
        <x:v>46177</x:v>
      </x:c>
      <x:c r="B345" s="44" t="n">
        <x:f>IF(COUNT(C345:D345)=2,SUM(C345:D345),"")</x:f>
        <x:v>195141</x:v>
      </x:c>
      <x:c r="C345" s="44" t="n">
        <x:v>180980</x:v>
      </x:c>
      <x:c r="D345" s="44" t="n">
        <x:v>14161</x:v>
      </x:c>
      <x:c r="E345" s="44" t="n">
        <x:v>22955</x:v>
      </x:c>
      <x:c r="F345" s="44" t="n">
        <x:v>3850</x:v>
      </x:c>
      <x:c r="G345" s="44" t="n">
        <x:v>1574</x:v>
      </x:c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43" t="n">
        <x:v>46178</x:v>
      </x:c>
      <x:c r="B346" s="44" t="n">
        <x:f>IF(COUNT(C346:D346)=2,SUM(C346:D346),"")</x:f>
        <x:v>79538</x:v>
      </x:c>
      <x:c r="C346" s="44" t="n">
        <x:v>74386</x:v>
      </x:c>
      <x:c r="D346" s="44" t="n">
        <x:v>5152</x:v>
      </x:c>
      <x:c r="E346" s="44" t="n">
        <x:v>22955</x:v>
      </x:c>
      <x:c r="F346" s="44" t="n">
        <x:v>3850</x:v>
      </x:c>
      <x:c r="G346" s="44" t="n">
        <x:v>602</x:v>
      </x:c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43" t="n">
        <x:v>46179</x:v>
      </x:c>
      <x:c r="B347" s="44" t="n">
        <x:f>IF(COUNT(C347:D347)=2,SUM(C347:D347),"")</x:f>
        <x:v>250689</x:v>
      </x:c>
      <x:c r="C347" s="44" t="n">
        <x:v>232771</x:v>
      </x:c>
      <x:c r="D347" s="44" t="n">
        <x:v>17918</x:v>
      </x:c>
      <x:c r="E347" s="44" t="n">
        <x:v>22955</x:v>
      </x:c>
      <x:c r="F347" s="44" t="n">
        <x:v>3850</x:v>
      </x:c>
      <x:c r="G347" s="44" t="n">
        <x:v>1832</x:v>
      </x:c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43" t="n">
        <x:v>46180</x:v>
      </x:c>
      <x:c r="B348" s="44" t="n">
        <x:f>IF(COUNT(C348:D348)=2,SUM(C348:D348),"")</x:f>
        <x:v>189482</x:v>
      </x:c>
      <x:c r="C348" s="44" t="n">
        <x:v>176287</x:v>
      </x:c>
      <x:c r="D348" s="44" t="n">
        <x:v>13195</x:v>
      </x:c>
      <x:c r="E348" s="44" t="n">
        <x:v>22955</x:v>
      </x:c>
      <x:c r="F348" s="44" t="n">
        <x:v>3850</x:v>
      </x:c>
      <x:c r="G348" s="44" t="n">
        <x:v>1564</x:v>
      </x:c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43" t="n">
        <x:v>46181</x:v>
      </x:c>
      <x:c r="B349" s="44" t="n">
        <x:f>IF(COUNT(C349:D349)=2,SUM(C349:D349),"")</x:f>
        <x:v>161652</x:v>
      </x:c>
      <x:c r="C349" s="44" t="n">
        <x:v>151615</x:v>
      </x:c>
      <x:c r="D349" s="44" t="n">
        <x:v>10037</x:v>
      </x:c>
      <x:c r="E349" s="44" t="n">
        <x:v>22955</x:v>
      </x:c>
      <x:c r="F349" s="44" t="n">
        <x:v>3850</x:v>
      </x:c>
      <x:c r="G349" s="44" t="n">
        <x:v>1151</x:v>
      </x:c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43" t="n">
        <x:v>46182</x:v>
      </x:c>
      <x:c r="B350" s="44" t="n">
        <x:f>IF(COUNT(C350:D350)=2,SUM(C350:D350),"")</x:f>
        <x:v>94654</x:v>
      </x:c>
      <x:c r="C350" s="44" t="n">
        <x:v>89584</x:v>
      </x:c>
      <x:c r="D350" s="44" t="n">
        <x:v>5070</x:v>
      </x:c>
      <x:c r="E350" s="44" t="n">
        <x:v>22955</x:v>
      </x:c>
      <x:c r="F350" s="44" t="n">
        <x:v>3850</x:v>
      </x:c>
      <x:c r="G350" s="44" t="n">
        <x:v>651</x:v>
      </x:c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43" t="n">
        <x:v>46183</x:v>
      </x:c>
      <x:c r="B351" s="44" t="n">
        <x:f>IF(COUNT(C351:D351)=2,SUM(C351:D351),"")</x:f>
        <x:v>160186</x:v>
      </x:c>
      <x:c r="C351" s="44" t="n">
        <x:v>149507</x:v>
      </x:c>
      <x:c r="D351" s="44" t="n">
        <x:v>10679</x:v>
      </x:c>
      <x:c r="E351" s="44" t="n">
        <x:v>22955</x:v>
      </x:c>
      <x:c r="F351" s="44" t="n">
        <x:v>3850</x:v>
      </x:c>
      <x:c r="G351" s="44" t="n">
        <x:v>997</x:v>
      </x:c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43" t="n">
        <x:v>46184</x:v>
      </x:c>
      <x:c r="B352" s="44" t="n">
        <x:f>IF(COUNT(C352:D352)=2,SUM(C352:D352),"")</x:f>
        <x:v>175739</x:v>
      </x:c>
      <x:c r="C352" s="44" t="n">
        <x:v>164682</x:v>
      </x:c>
      <x:c r="D352" s="44" t="n">
        <x:v>11057</x:v>
      </x:c>
      <x:c r="E352" s="44" t="n">
        <x:v>22955</x:v>
      </x:c>
      <x:c r="F352" s="44" t="n">
        <x:v>3850</x:v>
      </x:c>
      <x:c r="G352" s="44" t="n">
        <x:v>1190</x:v>
      </x:c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43" t="n">
        <x:v>46185</x:v>
      </x:c>
      <x:c r="B353" s="44" t="n">
        <x:f>IF(COUNT(C353:D353)=2,SUM(C353:D353),"")</x:f>
        <x:v>153701</x:v>
      </x:c>
      <x:c r="C353" s="44" t="n">
        <x:v>143995</x:v>
      </x:c>
      <x:c r="D353" s="44" t="n">
        <x:v>9706</x:v>
      </x:c>
      <x:c r="E353" s="44" t="n">
        <x:v>22955</x:v>
      </x:c>
      <x:c r="F353" s="44" t="n">
        <x:v>3850</x:v>
      </x:c>
      <x:c r="G353" s="44" t="n">
        <x:v>1190</x:v>
      </x:c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43" t="n">
        <x:v>46186</x:v>
      </x:c>
      <x:c r="B354" s="44" t="n">
        <x:f>IF(COUNT(C354:D354)=2,SUM(C354:D354),"")</x:f>
        <x:v>259654</x:v>
      </x:c>
      <x:c r="C354" s="44" t="n">
        <x:v>240694</x:v>
      </x:c>
      <x:c r="D354" s="44" t="n">
        <x:v>18960</x:v>
      </x:c>
      <x:c r="E354" s="44" t="n">
        <x:v>22955</x:v>
      </x:c>
      <x:c r="F354" s="44" t="n">
        <x:v>3850</x:v>
      </x:c>
      <x:c r="G354" s="44" t="n">
        <x:v>2002</x:v>
      </x:c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43" t="n">
        <x:v>46187</x:v>
      </x:c>
      <x:c r="B355" s="44" t="n">
        <x:f>IF(COUNT(C355:D355)=2,SUM(C355:D355),"")</x:f>
        <x:v>118365</x:v>
      </x:c>
      <x:c r="C355" s="44" t="n">
        <x:v>110218</x:v>
      </x:c>
      <x:c r="D355" s="44" t="n">
        <x:v>8147</x:v>
      </x:c>
      <x:c r="E355" s="44" t="n">
        <x:v>22955</x:v>
      </x:c>
      <x:c r="F355" s="44" t="n">
        <x:v>3850</x:v>
      </x:c>
      <x:c r="G355" s="44" t="n">
        <x:v>1019</x:v>
      </x:c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43" t="n">
        <x:v>46188</x:v>
      </x:c>
      <x:c r="B356" s="44" t="n">
        <x:f>IF(COUNT(C356:D356)=2,SUM(C356:D356),"")</x:f>
        <x:v>269017</x:v>
      </x:c>
      <x:c r="C356" s="44" t="n">
        <x:v>252246</x:v>
      </x:c>
      <x:c r="D356" s="44" t="n">
        <x:v>16771</x:v>
      </x:c>
      <x:c r="E356" s="44" t="n">
        <x:v>22955</x:v>
      </x:c>
      <x:c r="F356" s="44" t="n">
        <x:v>3850</x:v>
      </x:c>
      <x:c r="G356" s="44" t="n">
        <x:v>1944</x:v>
      </x:c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43" t="n">
        <x:v>46189</x:v>
      </x:c>
      <x:c r="B357" s="44" t="n">
        <x:f>IF(COUNT(C357:D357)=2,SUM(C357:D357),"")</x:f>
        <x:v>257050</x:v>
      </x:c>
      <x:c r="C357" s="44" t="n">
        <x:v>240862</x:v>
      </x:c>
      <x:c r="D357" s="44" t="n">
        <x:v>16188</x:v>
      </x:c>
      <x:c r="E357" s="44" t="n">
        <x:v>22955</x:v>
      </x:c>
      <x:c r="F357" s="44" t="n">
        <x:v>3850</x:v>
      </x:c>
      <x:c r="G357" s="44" t="n">
        <x:v>1851</x:v>
      </x:c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43" t="n">
        <x:v>46190</x:v>
      </x:c>
      <x:c r="B358" s="44" t="n">
        <x:f>IF(COUNT(C358:D358)=2,SUM(C358:D358),"")</x:f>
        <x:v>250711</x:v>
      </x:c>
      <x:c r="C358" s="44" t="n">
        <x:v>234899</x:v>
      </x:c>
      <x:c r="D358" s="44" t="n">
        <x:v>15812</x:v>
      </x:c>
      <x:c r="E358" s="44" t="n">
        <x:v>22955</x:v>
      </x:c>
      <x:c r="F358" s="44" t="n">
        <x:v>3850</x:v>
      </x:c>
      <x:c r="G358" s="44" t="n">
        <x:v>1769</x:v>
      </x:c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43" t="n">
        <x:v>46191</x:v>
      </x:c>
      <x:c r="B359" s="44" t="n">
        <x:f>IF(COUNT(C359:D359)=2,SUM(C359:D359),"")</x:f>
        <x:v>236809</x:v>
      </x:c>
      <x:c r="C359" s="44" t="n">
        <x:v>221258</x:v>
      </x:c>
      <x:c r="D359" s="44" t="n">
        <x:v>15551</x:v>
      </x:c>
      <x:c r="E359" s="44" t="n">
        <x:v>22955</x:v>
      </x:c>
      <x:c r="F359" s="44" t="n">
        <x:v>3850</x:v>
      </x:c>
      <x:c r="G359" s="44" t="n">
        <x:v>1735</x:v>
      </x:c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43" t="n">
        <x:v>46192</x:v>
      </x:c>
      <x:c r="B360" s="44" t="n">
        <x:f>IF(COUNT(C360:D360)=2,SUM(C360:D360),"")</x:f>
        <x:v>213298</x:v>
      </x:c>
      <x:c r="C360" s="44" t="n">
        <x:v>197247</x:v>
      </x:c>
      <x:c r="D360" s="44" t="n">
        <x:v>16051</x:v>
      </x:c>
      <x:c r="E360" s="44" t="n">
        <x:v>22955</x:v>
      </x:c>
      <x:c r="F360" s="44" t="n">
        <x:v>3850</x:v>
      </x:c>
      <x:c r="G360" s="44" t="n">
        <x:v>1862</x:v>
      </x:c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43" t="n">
        <x:v>46193</x:v>
      </x:c>
      <x:c r="B361" s="44" t="n">
        <x:f>IF(COUNT(C361:D361)=2,SUM(C361:D361),"")</x:f>
        <x:v>223747</x:v>
      </x:c>
      <x:c r="C361" s="44" t="n">
        <x:v>206939</x:v>
      </x:c>
      <x:c r="D361" s="44" t="n">
        <x:v>16808</x:v>
      </x:c>
      <x:c r="E361" s="44" t="n">
        <x:v>22955</x:v>
      </x:c>
      <x:c r="F361" s="44" t="n">
        <x:v>3850</x:v>
      </x:c>
      <x:c r="G361" s="44" t="n">
        <x:v>2027</x:v>
      </x:c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43" t="n">
        <x:v>46194</x:v>
      </x:c>
      <x:c r="B362" s="44" t="n">
        <x:f>IF(COUNT(C362:D362)=2,SUM(C362:D362),"")</x:f>
        <x:v>209198</x:v>
      </x:c>
      <x:c r="C362" s="44" t="n">
        <x:v>194840</x:v>
      </x:c>
      <x:c r="D362" s="44" t="n">
        <x:v>14358</x:v>
      </x:c>
      <x:c r="E362" s="44" t="n">
        <x:v>22955</x:v>
      </x:c>
      <x:c r="F362" s="44" t="n">
        <x:v>3850</x:v>
      </x:c>
      <x:c r="G362" s="44" t="n">
        <x:v>1841</x:v>
      </x:c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43" t="n">
        <x:v>46195</x:v>
      </x:c>
      <x:c r="B363" s="44" t="n">
        <x:f>IF(COUNT(C363:D363)=2,SUM(C363:D363),"")</x:f>
        <x:v>280332</x:v>
      </x:c>
      <x:c r="C363" s="44" t="n">
        <x:v>262113</x:v>
      </x:c>
      <x:c r="D363" s="44" t="n">
        <x:v>18219</x:v>
      </x:c>
      <x:c r="E363" s="44" t="n">
        <x:v>22955</x:v>
      </x:c>
      <x:c r="F363" s="44" t="n">
        <x:v>3850</x:v>
      </x:c>
      <x:c r="G363" s="44" t="n">
        <x:v>2232</x:v>
      </x:c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43" t="n">
        <x:v>46196</x:v>
      </x:c>
      <x:c r="B364" s="44" t="n">
        <x:f>IF(COUNT(C364:D364)=2,SUM(C364:D364),"")</x:f>
        <x:v>292403</x:v>
      </x:c>
      <x:c r="C364" s="44" t="n">
        <x:v>273214</x:v>
      </x:c>
      <x:c r="D364" s="44" t="n">
        <x:v>19189</x:v>
      </x:c>
      <x:c r="E364" s="44" t="n">
        <x:v>22955</x:v>
      </x:c>
      <x:c r="F364" s="44" t="n">
        <x:v>3850</x:v>
      </x:c>
      <x:c r="G364" s="44" t="n">
        <x:v>2353</x:v>
      </x:c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43" t="n">
        <x:v>46197</x:v>
      </x:c>
      <x:c r="B365" s="44" t="n">
        <x:f>IF(COUNT(C365:D365)=2,SUM(C365:D365),"")</x:f>
        <x:v>292278</x:v>
      </x:c>
      <x:c r="C365" s="44" t="n">
        <x:v>271931</x:v>
      </x:c>
      <x:c r="D365" s="44" t="n">
        <x:v>20347</x:v>
      </x:c>
      <x:c r="E365" s="44" t="n">
        <x:v>22955</x:v>
      </x:c>
      <x:c r="F365" s="44" t="n">
        <x:v>3850</x:v>
      </x:c>
      <x:c r="G365" s="44" t="n">
        <x:v>2372</x:v>
      </x:c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43" t="n">
        <x:v>46198</x:v>
      </x:c>
      <x:c r="B366" s="44" t="n">
        <x:f>IF(COUNT(C366:D366)=2,SUM(C366:D366),"")</x:f>
        <x:v>141397</x:v>
      </x:c>
      <x:c r="C366" s="44" t="n">
        <x:v>132156</x:v>
      </x:c>
      <x:c r="D366" s="44" t="n">
        <x:v>9241</x:v>
      </x:c>
      <x:c r="E366" s="44" t="n">
        <x:v>22955</x:v>
      </x:c>
      <x:c r="F366" s="44" t="n">
        <x:v>3850</x:v>
      </x:c>
      <x:c r="G366" s="44" t="n">
        <x:v>1223</x:v>
      </x:c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43" t="n">
        <x:v>46199</x:v>
      </x:c>
      <x:c r="B367" s="44" t="n">
        <x:f>IF(COUNT(C367:D367)=2,SUM(C367:D367),"")</x:f>
        <x:v>117317</x:v>
      </x:c>
      <x:c r="C367" s="44" t="n">
        <x:v>109966</x:v>
      </x:c>
      <x:c r="D367" s="44" t="n">
        <x:v>7351</x:v>
      </x:c>
      <x:c r="E367" s="44" t="n">
        <x:v>22955</x:v>
      </x:c>
      <x:c r="F367" s="44" t="n">
        <x:v>3850</x:v>
      </x:c>
      <x:c r="G367" s="44" t="n">
        <x:v>1129</x:v>
      </x:c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43" t="n">
        <x:v>46200</x:v>
      </x:c>
      <x:c r="B368" s="44" t="n">
        <x:f>IF(COUNT(C368:D368)=2,SUM(C368:D368),"")</x:f>
        <x:v>139485</x:v>
      </x:c>
      <x:c r="C368" s="44" t="n">
        <x:v>130070</x:v>
      </x:c>
      <x:c r="D368" s="44" t="n">
        <x:v>9415</x:v>
      </x:c>
      <x:c r="E368" s="44" t="n">
        <x:v>22955</x:v>
      </x:c>
      <x:c r="F368" s="44" t="n">
        <x:v>3850</x:v>
      </x:c>
      <x:c r="G368" s="44" t="n">
        <x:v>1500</x:v>
      </x:c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43" t="n">
        <x:v>46201</x:v>
      </x:c>
      <x:c r="B369" s="44" t="n">
        <x:f>IF(COUNT(C369:D369)=2,SUM(C369:D369),"")</x:f>
        <x:v>166829</x:v>
      </x:c>
      <x:c r="C369" s="44" t="n">
        <x:v>154756</x:v>
      </x:c>
      <x:c r="D369" s="44" t="n">
        <x:v>12073</x:v>
      </x:c>
      <x:c r="E369" s="44" t="n">
        <x:v>22955</x:v>
      </x:c>
      <x:c r="F369" s="44" t="n">
        <x:v>3850</x:v>
      </x:c>
      <x:c r="G369" s="44" t="n">
        <x:v>2169</x:v>
      </x:c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43" t="n">
        <x:v>46202</x:v>
      </x:c>
      <x:c r="B370" s="44" t="n">
        <x:f>IF(COUNT(C370:D370)=2,SUM(C370:D370),"")</x:f>
        <x:v>284386</x:v>
      </x:c>
      <x:c r="C370" s="44" t="n">
        <x:v>263878</x:v>
      </x:c>
      <x:c r="D370" s="44" t="n">
        <x:v>20508</x:v>
      </x:c>
      <x:c r="E370" s="44" t="n">
        <x:v>22955</x:v>
      </x:c>
      <x:c r="F370" s="44" t="n">
        <x:v>3850</x:v>
      </x:c>
      <x:c r="G370" s="44" t="n">
        <x:v>3146</x:v>
      </x:c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43" t="n">
        <x:v>46203</x:v>
      </x:c>
      <x:c r="B371" s="44" t="n">
        <x:f>IF(COUNT(C371:D371)=2,SUM(C371:D371),"")</x:f>
        <x:v>285598</x:v>
      </x:c>
      <x:c r="C371" s="44" t="n">
        <x:v>264331</x:v>
      </x:c>
      <x:c r="D371" s="44" t="n">
        <x:v>21267</x:v>
      </x:c>
      <x:c r="E371" s="44" t="n">
        <x:v>22955</x:v>
      </x:c>
      <x:c r="F371" s="44" t="n">
        <x:v>3850</x:v>
      </x:c>
      <x:c r="G371" s="44" t="n">
        <x:v>3850</x:v>
      </x:c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43" t="n">
        <x:v>46204</x:v>
      </x:c>
      <x:c r="B372" s="44" t="n">
        <x:f>IF(COUNT(C372:D372)=2,SUM(C372:D372),"")</x:f>
        <x:v>291541</x:v>
      </x:c>
      <x:c r="C372" s="44" t="n">
        <x:v>270226</x:v>
      </x:c>
      <x:c r="D372" s="44" t="n">
        <x:v>21315</x:v>
      </x:c>
      <x:c r="E372" s="44" t="n">
        <x:v>22955</x:v>
      </x:c>
      <x:c r="F372" s="44" t="n">
        <x:v>3850</x:v>
      </x:c>
      <x:c r="G372" s="44" t="n">
        <x:v>3649</x:v>
      </x:c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43" t="n">
        <x:v>46205</x:v>
      </x:c>
      <x:c r="B373" s="44" t="n">
        <x:f>IF(COUNT(C373:D373)=2,SUM(C373:D373),"")</x:f>
        <x:v>269361</x:v>
      </x:c>
      <x:c r="C373" s="44" t="n">
        <x:v>247627</x:v>
      </x:c>
      <x:c r="D373" s="44" t="n">
        <x:v>21734</x:v>
      </x:c>
      <x:c r="E373" s="44" t="n">
        <x:v>22955</x:v>
      </x:c>
      <x:c r="F373" s="44" t="n">
        <x:v>3850</x:v>
      </x:c>
      <x:c r="G373" s="44" t="n">
        <x:v>4195</x:v>
      </x:c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43" t="n">
        <x:v>46206</x:v>
      </x:c>
      <x:c r="B374" s="44" t="n">
        <x:f>IF(COUNT(C374:D374)=2,SUM(C374:D374),"")</x:f>
        <x:v>280200</x:v>
      </x:c>
      <x:c r="C374" s="44" t="n">
        <x:v>257226</x:v>
      </x:c>
      <x:c r="D374" s="44" t="n">
        <x:v>22974</x:v>
      </x:c>
      <x:c r="E374" s="44" t="n">
        <x:v>22955</x:v>
      </x:c>
      <x:c r="F374" s="44" t="n">
        <x:v>3850</x:v>
      </x:c>
      <x:c r="G374" s="44" t="n">
        <x:v>4973</x:v>
      </x:c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43" t="n">
        <x:v>46207</x:v>
      </x:c>
      <x:c r="B375" s="44" t="n">
        <x:f>IF(COUNT(C375:D375)=2,SUM(C375:D375),"")</x:f>
        <x:v>244588</x:v>
      </x:c>
      <x:c r="C375" s="44" t="n">
        <x:v>223167</x:v>
      </x:c>
      <x:c r="D375" s="44" t="n">
        <x:v>21421</x:v>
      </x:c>
      <x:c r="E375" s="44" t="n">
        <x:v>23008</x:v>
      </x:c>
      <x:c r="F375" s="44" t="n">
        <x:v>4050</x:v>
      </x:c>
      <x:c r="G375" s="44" t="n">
        <x:v>4868</x:v>
      </x:c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43" t="n">
        <x:v>46208</x:v>
      </x:c>
      <x:c r="B376" s="44" t="n">
        <x:f>IF(COUNT(C376:D376)=2,SUM(C376:D376),"")</x:f>
        <x:v>203827</x:v>
      </x:c>
      <x:c r="C376" s="44" t="n">
        <x:v>186144</x:v>
      </x:c>
      <x:c r="D376" s="44" t="n">
        <x:v>17683</x:v>
      </x:c>
      <x:c r="E376" s="44" t="n">
        <x:v>23008</x:v>
      </x:c>
      <x:c r="F376" s="44" t="n">
        <x:v>4050</x:v>
      </x:c>
      <x:c r="G376" s="44" t="n">
        <x:v>4447</x:v>
      </x:c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43" t="n">
        <x:v>46209</x:v>
      </x:c>
      <x:c r="B377" s="44" t="n">
        <x:f>IF(COUNT(C377:D377)=2,SUM(C377:D377),"")</x:f>
        <x:v>244006</x:v>
      </x:c>
      <x:c r="C377" s="44" t="n">
        <x:v>224656</x:v>
      </x:c>
      <x:c r="D377" s="44" t="n">
        <x:v>19350</x:v>
      </x:c>
      <x:c r="E377" s="44" t="n">
        <x:v>23008</x:v>
      </x:c>
      <x:c r="F377" s="44" t="n">
        <x:v>4050</x:v>
      </x:c>
      <x:c r="G377" s="44" t="n">
        <x:v>4428</x:v>
      </x:c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43" t="n">
        <x:v>46210</x:v>
      </x:c>
      <x:c r="B378" s="44" t="n">
        <x:f>IF(COUNT(C378:D378)=2,SUM(C378:D378),"")</x:f>
        <x:v>291473</x:v>
      </x:c>
      <x:c r="C378" s="44" t="n">
        <x:v>267793</x:v>
      </x:c>
      <x:c r="D378" s="44" t="n">
        <x:v>23680</x:v>
      </x:c>
      <x:c r="E378" s="44" t="n">
        <x:v>23008</x:v>
      </x:c>
      <x:c r="F378" s="44" t="n">
        <x:v>4050</x:v>
      </x:c>
      <x:c r="G378" s="44" t="n">
        <x:v>5673</x:v>
      </x:c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43" t="n">
        <x:v>46211</x:v>
      </x:c>
      <x:c r="B379" s="44" t="n">
        <x:f>IF(COUNT(C379:D379)=2,SUM(C379:D379),"")</x:f>
        <x:v>300105</x:v>
      </x:c>
      <x:c r="C379" s="44" t="n">
        <x:v>274971</x:v>
      </x:c>
      <x:c r="D379" s="44" t="n">
        <x:v>25134</x:v>
      </x:c>
      <x:c r="E379" s="44" t="n">
        <x:v>23008</x:v>
      </x:c>
      <x:c r="F379" s="44" t="n">
        <x:v>4050</x:v>
      </x:c>
      <x:c r="G379" s="44" t="n">
        <x:v>6074</x:v>
      </x:c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43" t="n">
        <x:v>46212</x:v>
      </x:c>
      <x:c r="B380" s="44" t="n">
        <x:f>IF(COUNT(C380:D380)=2,SUM(C380:D380),"")</x:f>
        <x:v>307281</x:v>
      </x:c>
      <x:c r="C380" s="44" t="n">
        <x:v>281082</x:v>
      </x:c>
      <x:c r="D380" s="44" t="n">
        <x:v>26199</x:v>
      </x:c>
      <x:c r="E380" s="44" t="n">
        <x:v>23008</x:v>
      </x:c>
      <x:c r="F380" s="44" t="n">
        <x:v>4050</x:v>
      </x:c>
      <x:c r="G380" s="44" t="n">
        <x:v>6506</x:v>
      </x:c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43" t="n">
        <x:v>46213</x:v>
      </x:c>
      <x:c r="B381" s="44" t="n">
        <x:f>IF(COUNT(C381:D381)=2,SUM(C381:D381),"")</x:f>
        <x:v>13607</x:v>
      </x:c>
      <x:c r="C381" s="44" t="n">
        <x:v>11685</x:v>
      </x:c>
      <x:c r="D381" s="44" t="n">
        <x:v>1922</x:v>
      </x:c>
      <x:c r="E381" s="44" t="n">
        <x:v>23008</x:v>
      </x:c>
      <x:c r="F381" s="44" t="n">
        <x:v>4050</x:v>
      </x:c>
      <x:c r="G381" s="44" t="n">
        <x:v>574</x:v>
      </x:c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43" t="n">
        <x:v>46214</x:v>
      </x:c>
      <x:c r="B382" s="44" t="n">
        <x:f>IF(COUNT(C382:D382)=2,SUM(C382:D382),"")</x:f>
        <x:v>0</x:v>
      </x:c>
      <x:c r="C382" s="44" t="n">
        <x:v>0</x:v>
      </x:c>
      <x:c r="D382" s="44" t="n">
        <x:v>0</x:v>
      </x:c>
      <x:c r="E382" s="44" t="n">
        <x:v>23008</x:v>
      </x:c>
      <x:c r="F382" s="44" t="n">
        <x:v>4050</x:v>
      </x:c>
      <x:c r="G382" s="44" t="n">
        <x:v>1</x:v>
      </x:c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43" t="n">
        <x:v>46215</x:v>
      </x:c>
      <x:c r="B383" s="44" t="n">
        <x:f>IF(COUNT(C383:D383)=2,SUM(C383:D383),"")</x:f>
        <x:v>202840</x:v>
      </x:c>
      <x:c r="C383" s="44" t="n">
        <x:v>185587</x:v>
      </x:c>
      <x:c r="D383" s="44" t="n">
        <x:v>17253</x:v>
      </x:c>
      <x:c r="E383" s="44" t="n">
        <x:v>23008</x:v>
      </x:c>
      <x:c r="F383" s="44" t="n">
        <x:v>4050</x:v>
      </x:c>
      <x:c r="G383" s="44" t="n">
        <x:v>4352</x:v>
      </x:c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43" t="n">
        <x:v>46216</x:v>
      </x:c>
      <x:c r="B384" s="44" t="n">
        <x:f>IF(COUNT(C384:D384)=2,SUM(C384:D384),"")</x:f>
        <x:v>247396</x:v>
      </x:c>
      <x:c r="C384" s="44" t="n">
        <x:v>227228</x:v>
      </x:c>
      <x:c r="D384" s="44" t="n">
        <x:v>20168</x:v>
      </x:c>
      <x:c r="E384" s="44" t="n">
        <x:v>23008</x:v>
      </x:c>
      <x:c r="F384" s="44" t="n">
        <x:v>4050</x:v>
      </x:c>
      <x:c r="G384" s="44" t="n">
        <x:v>5435</x:v>
      </x:c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43" t="n">
        <x:v>46217</x:v>
      </x:c>
      <x:c r="B385" s="44" t="n">
        <x:f>IF(COUNT(C385:D385)=2,SUM(C385:D385),"")</x:f>
        <x:v>276324</x:v>
      </x:c>
      <x:c r="C385" s="44" t="n">
        <x:v>253015</x:v>
      </x:c>
      <x:c r="D385" s="44" t="n">
        <x:v>23309</x:v>
      </x:c>
      <x:c r="E385" s="44" t="n">
        <x:v>23008</x:v>
      </x:c>
      <x:c r="F385" s="44" t="n">
        <x:v>4050</x:v>
      </x:c>
      <x:c r="G385" s="44" t="n">
        <x:v>6272</x:v>
      </x:c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43" t="n">
        <x:v>46218</x:v>
      </x:c>
      <x:c r="B386" s="44" t="n">
        <x:f>IF(COUNT(C386:D386)=2,SUM(C386:D386),"")</x:f>
        <x:v>285432</x:v>
      </x:c>
      <x:c r="C386" s="44" t="n">
        <x:v>260931</x:v>
      </x:c>
      <x:c r="D386" s="44" t="n">
        <x:v>24501</x:v>
      </x:c>
      <x:c r="E386" s="44" t="n">
        <x:v>23008</x:v>
      </x:c>
      <x:c r="F386" s="44" t="n">
        <x:v>4050</x:v>
      </x:c>
      <x:c r="G386" s="44" t="n">
        <x:v>6847</x:v>
      </x:c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43" t="n">
        <x:v>46219</x:v>
      </x:c>
      <x:c r="B387" s="44" t="n">
        <x:f>IF(COUNT(C387:D387)=2,SUM(C387:D387),"")</x:f>
        <x:v>279917</x:v>
      </x:c>
      <x:c r="C387" s="44" t="n">
        <x:v>255797</x:v>
      </x:c>
      <x:c r="D387" s="44" t="n">
        <x:v>24120</x:v>
      </x:c>
      <x:c r="E387" s="44" t="n">
        <x:v>23008</x:v>
      </x:c>
      <x:c r="F387" s="44" t="n">
        <x:v>4050</x:v>
      </x:c>
      <x:c r="G387" s="44" t="n">
        <x:v>6753</x:v>
      </x:c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43" t="n">
        <x:v>46220</x:v>
      </x:c>
      <x:c r="B388" s="44" t="n">
        <x:f>IF(COUNT(C388:D388)=2,SUM(C388:D388),"")</x:f>
        <x:v>269555</x:v>
      </x:c>
      <x:c r="C388" s="44" t="n">
        <x:v>245247</x:v>
      </x:c>
      <x:c r="D388" s="44" t="n">
        <x:v>24308</x:v>
      </x:c>
      <x:c r="E388" s="44" t="n">
        <x:v>23008</x:v>
      </x:c>
      <x:c r="F388" s="44" t="n">
        <x:v>4050</x:v>
      </x:c>
      <x:c r="G388" s="44" t="n">
        <x:v>6904</x:v>
      </x:c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43" t="n">
        <x:v>46221</x:v>
      </x:c>
      <x:c r="B389" s="44" t="n">
        <x:f>IF(COUNT(C389:D389)=2,SUM(C389:D389),"")</x:f>
        <x:v>245640</x:v>
      </x:c>
      <x:c r="C389" s="44" t="n">
        <x:v>221346</x:v>
      </x:c>
      <x:c r="D389" s="44" t="n">
        <x:v>24294</x:v>
      </x:c>
      <x:c r="E389" s="44" t="n">
        <x:v>23008</x:v>
      </x:c>
      <x:c r="F389" s="44" t="n">
        <x:v>4050</x:v>
      </x:c>
      <x:c r="G389" s="44" t="n">
        <x:v>6899</x:v>
      </x:c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43" t="n">
        <x:v>46222</x:v>
      </x:c>
      <x:c r="B390" s="44" t="n">
        <x:f>IF(COUNT(C390:D390)=2,SUM(C390:D390),"")</x:f>
        <x:v>175717</x:v>
      </x:c>
      <x:c r="C390" s="44" t="n">
        <x:v>159453</x:v>
      </x:c>
      <x:c r="D390" s="44" t="n">
        <x:v>16264</x:v>
      </x:c>
      <x:c r="E390" s="44" t="n">
        <x:v>23008</x:v>
      </x:c>
      <x:c r="F390" s="44" t="n">
        <x:v>4050</x:v>
      </x:c>
      <x:c r="G390" s="44" t="n">
        <x:v>5133</x:v>
      </x:c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43" t="n">
        <x:v>46223</x:v>
      </x:c>
      <x:c r="B391" s="44" t="n">
        <x:f>IF(COUNT(C391:D391)=2,SUM(C391:D391),"")</x:f>
        <x:v>222284</x:v>
      </x:c>
      <x:c r="C391" s="44" t="n">
        <x:v>203752</x:v>
      </x:c>
      <x:c r="D391" s="44" t="n">
        <x:v>18532</x:v>
      </x:c>
      <x:c r="E391" s="44" t="n">
        <x:v>23008</x:v>
      </x:c>
      <x:c r="F391" s="44" t="n">
        <x:v>4050</x:v>
      </x:c>
      <x:c r="G391" s="44" t="n">
        <x:v>5494</x:v>
      </x:c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43" t="n">
        <x:v>46224</x:v>
      </x:c>
      <x:c r="B392" s="44" t="n">
        <x:f>IF(COUNT(C392:D392)=2,SUM(C392:D392),"")</x:f>
        <x:v>249808</x:v>
      </x:c>
      <x:c r="C392" s="44" t="n">
        <x:v>229378</x:v>
      </x:c>
      <x:c r="D392" s="44" t="n">
        <x:v>20430</x:v>
      </x:c>
      <x:c r="E392" s="44" t="n">
        <x:v>23008</x:v>
      </x:c>
      <x:c r="F392" s="44" t="n">
        <x:v>4050</x:v>
      </x:c>
      <x:c r="G392" s="44" t="n">
        <x:v>5916</x:v>
      </x:c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43" t="n">
        <x:v>46225</x:v>
      </x:c>
      <x:c r="B393" s="44" t="n">
        <x:f>IF(COUNT(C393:D393)=2,SUM(C393:D393),"")</x:f>
        <x:v>294158</x:v>
      </x:c>
      <x:c r="C393" s="44" t="n">
        <x:v>269027</x:v>
      </x:c>
      <x:c r="D393" s="44" t="n">
        <x:v>25131</x:v>
      </x:c>
      <x:c r="E393" s="44" t="n">
        <x:v>23008</x:v>
      </x:c>
      <x:c r="F393" s="44" t="n">
        <x:v>4050</x:v>
      </x:c>
      <x:c r="G393" s="44" t="n">
        <x:v>7565</x:v>
      </x:c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43" t="n">
        <x:v>46226</x:v>
      </x:c>
      <x:c r="B394" s="44" t="n">
        <x:f>IF(COUNT(C394:D394)=2,SUM(C394:D394),"")</x:f>
        <x:v>298620</x:v>
      </x:c>
      <x:c r="C394" s="44" t="n">
        <x:v>272264</x:v>
      </x:c>
      <x:c r="D394" s="44" t="n">
        <x:v>26356</x:v>
      </x:c>
      <x:c r="E394" s="44" t="n">
        <x:v>23008</x:v>
      </x:c>
      <x:c r="F394" s="44" t="n">
        <x:v>4050</x:v>
      </x:c>
      <x:c r="G394" s="44" t="n">
        <x:v>7715</x:v>
      </x:c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43" t="n">
        <x:v>46227</x:v>
      </x:c>
      <x:c r="B395" s="44" t="n">
        <x:f>IF(COUNT(C395:D395)=2,SUM(C395:D395),"")</x:f>
        <x:v>301673</x:v>
      </x:c>
      <x:c r="C395" s="44" t="n">
        <x:v>274423</x:v>
      </x:c>
      <x:c r="D395" s="44" t="n">
        <x:v>27250</x:v>
      </x:c>
      <x:c r="E395" s="44" t="n">
        <x:v>23008</x:v>
      </x:c>
      <x:c r="F395" s="44" t="n">
        <x:v>4050</x:v>
      </x:c>
      <x:c r="G395" s="44" t="n">
        <x:v>7933</x:v>
      </x:c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43" t="n">
        <x:v>46228</x:v>
      </x:c>
      <x:c r="B396" s="44" t="n">
        <x:f>IF(COUNT(C396:D396)=2,SUM(C396:D396),"")</x:f>
        <x:v>253694</x:v>
      </x:c>
      <x:c r="C396" s="44" t="n">
        <x:v>229352</x:v>
      </x:c>
      <x:c r="D396" s="44" t="n">
        <x:v>24342</x:v>
      </x:c>
      <x:c r="E396" s="44" t="n">
        <x:v>23088</x:v>
      </x:c>
      <x:c r="F396" s="44" t="n">
        <x:v>4350</x:v>
      </x:c>
      <x:c r="G396" s="44" t="n">
        <x:v>7271</x:v>
      </x:c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43" t="n">
        <x:v>46229</x:v>
      </x:c>
      <x:c r="B397" s="44" t="n">
        <x:f>IF(COUNT(C397:D397)=2,SUM(C397:D397),"")</x:f>
        <x:v>226118</x:v>
      </x:c>
      <x:c r="C397" s="44" t="n">
        <x:v>205153</x:v>
      </x:c>
      <x:c r="D397" s="44" t="n">
        <x:v>20965</x:v>
      </x:c>
      <x:c r="E397" s="44" t="n">
        <x:v>23088</x:v>
      </x:c>
      <x:c r="F397" s="44" t="n">
        <x:v>4350</x:v>
      </x:c>
      <x:c r="G397" s="44" t="n">
        <x:v>6581</x:v>
      </x:c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43" t="n">
        <x:v>46230</x:v>
      </x:c>
      <x:c r="B398" s="44" t="n">
        <x:f>IF(COUNT(C398:D398)=2,SUM(C398:D398),"")</x:f>
        <x:v>282266</x:v>
      </x:c>
      <x:c r="C398" s="44" t="n">
        <x:v>258170</x:v>
      </x:c>
      <x:c r="D398" s="44" t="n">
        <x:v>24096</x:v>
      </x:c>
      <x:c r="E398" s="44" t="n">
        <x:v>23088</x:v>
      </x:c>
      <x:c r="F398" s="44" t="n">
        <x:v>4350</x:v>
      </x:c>
      <x:c r="G398" s="44" t="n">
        <x:v>7460</x:v>
      </x:c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43" t="n">
        <x:v>46231</x:v>
      </x:c>
      <x:c r="B399" s="44" t="n">
        <x:f>IF(COUNT(C399:D399)=2,SUM(C399:D399),"")</x:f>
        <x:v>287877</x:v>
      </x:c>
      <x:c r="C399" s="44" t="n">
        <x:v>261912</x:v>
      </x:c>
      <x:c r="D399" s="44" t="n">
        <x:v>25965</x:v>
      </x:c>
      <x:c r="E399" s="44" t="n">
        <x:v>23088</x:v>
      </x:c>
      <x:c r="F399" s="44" t="n">
        <x:v>4350</x:v>
      </x:c>
      <x:c r="G399" s="44" t="n">
        <x:v>8094</x:v>
      </x:c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43" t="n">
        <x:v>46232</x:v>
      </x:c>
      <x:c r="B400" s="44" t="n">
        <x:f>IF(COUNT(C400:D400)=2,SUM(C400:D400),"")</x:f>
        <x:v>300126</x:v>
      </x:c>
      <x:c r="C400" s="44" t="n">
        <x:v>272790</x:v>
      </x:c>
      <x:c r="D400" s="44" t="n">
        <x:v>27336</x:v>
      </x:c>
      <x:c r="E400" s="44" t="n">
        <x:v>23088</x:v>
      </x:c>
      <x:c r="F400" s="44" t="n">
        <x:v>4350</x:v>
      </x:c>
      <x:c r="G400" s="44" t="n">
        <x:v>8417</x:v>
      </x:c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43" t="n">
        <x:v>46233</x:v>
      </x:c>
      <x:c r="B401" s="44" t="n">
        <x:f>IF(COUNT(C401:D401)=2,SUM(C401:D401),"")</x:f>
        <x:v>305082</x:v>
      </x:c>
      <x:c r="C401" s="44" t="n">
        <x:v>276677</x:v>
      </x:c>
      <x:c r="D401" s="44" t="n">
        <x:v>28405</x:v>
      </x:c>
      <x:c r="E401" s="44" t="n">
        <x:v>23088</x:v>
      </x:c>
      <x:c r="F401" s="44" t="n">
        <x:v>4350</x:v>
      </x:c>
      <x:c r="G401" s="44" t="n">
        <x:v>8842</x:v>
      </x:c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43" t="n">
        <x:v>46234</x:v>
      </x:c>
      <x:c r="B402" s="44" t="n">
        <x:f>IF(COUNT(C402:D402)=2,SUM(C402:D402),"")</x:f>
        <x:v>305126</x:v>
      </x:c>
      <x:c r="C402" s="44" t="n">
        <x:v>275452</x:v>
      </x:c>
      <x:c r="D402" s="44" t="n">
        <x:v>29674</x:v>
      </x:c>
      <x:c r="E402" s="44" t="n">
        <x:v>23088</x:v>
      </x:c>
      <x:c r="F402" s="44" t="n">
        <x:v>4350</x:v>
      </x:c>
      <x:c r="G402" s="44" t="n">
        <x:v>9226</x:v>
      </x:c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43" t="n">
        <x:v>46235</x:v>
      </x:c>
      <x:c r="B403" s="44" t="n">
        <x:f>IF(COUNT(C403:D403)=2,SUM(C403:D403),"")</x:f>
        <x:v>246301</x:v>
      </x:c>
      <x:c r="C403" s="44" t="n">
        <x:v>221153</x:v>
      </x:c>
      <x:c r="D403" s="44" t="n">
        <x:v>25148</x:v>
      </x:c>
      <x:c r="E403" s="44" t="n">
        <x:v>23088</x:v>
      </x:c>
      <x:c r="F403" s="44" t="n">
        <x:v>4350</x:v>
      </x:c>
      <x:c r="G403" s="44" t="n">
        <x:v>7902</x:v>
      </x:c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43" t="n">
        <x:v>46236</x:v>
      </x:c>
      <x:c r="B404" s="44" t="n">
        <x:f>IF(COUNT(C404:D404)=2,SUM(C404:D404),"")</x:f>
        <x:v>221550</x:v>
      </x:c>
      <x:c r="C404" s="44" t="n">
        <x:v>200603</x:v>
      </x:c>
      <x:c r="D404" s="44" t="n">
        <x:v>20947</x:v>
      </x:c>
      <x:c r="E404" s="44" t="n">
        <x:v>23088</x:v>
      </x:c>
      <x:c r="F404" s="44" t="n">
        <x:v>4350</x:v>
      </x:c>
      <x:c r="G404" s="44" t="n">
        <x:v>6998</x:v>
      </x:c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43" t="n">
        <x:v>46237</x:v>
      </x:c>
      <x:c r="B405" s="44" t="n">
        <x:f>IF(COUNT(C405:D405)=2,SUM(C405:D405),"")</x:f>
        <x:v>282607</x:v>
      </x:c>
      <x:c r="C405" s="44" t="n">
        <x:v>257938</x:v>
      </x:c>
      <x:c r="D405" s="44" t="n">
        <x:v>24669</x:v>
      </x:c>
      <x:c r="E405" s="44" t="n">
        <x:v>23088</x:v>
      </x:c>
      <x:c r="F405" s="44" t="n">
        <x:v>4350</x:v>
      </x:c>
      <x:c r="G405" s="44" t="n">
        <x:v>7850</x:v>
      </x:c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43" t="n">
        <x:v>46238</x:v>
      </x:c>
      <x:c r="B406" s="44" t="n">
        <x:f>IF(COUNT(C406:D406)=2,SUM(C406:D406),"")</x:f>
        <x:v>295340</x:v>
      </x:c>
      <x:c r="C406" s="44" t="n">
        <x:v>269211</x:v>
      </x:c>
      <x:c r="D406" s="44" t="n">
        <x:v>26129</x:v>
      </x:c>
      <x:c r="E406" s="44" t="n">
        <x:v>23088</x:v>
      </x:c>
      <x:c r="F406" s="44" t="n">
        <x:v>4350</x:v>
      </x:c>
      <x:c r="G406" s="44" t="n">
        <x:v>8412</x:v>
      </x:c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43" t="n">
        <x:v>46239</x:v>
      </x:c>
      <x:c r="B407" s="44" t="n">
        <x:f>IF(COUNT(C407:D407)=2,SUM(C407:D407),"")</x:f>
        <x:v>303120</x:v>
      </x:c>
      <x:c r="C407" s="44" t="n">
        <x:v>275286</x:v>
      </x:c>
      <x:c r="D407" s="44" t="n">
        <x:v>27834</x:v>
      </x:c>
      <x:c r="E407" s="44" t="n">
        <x:v>23088</x:v>
      </x:c>
      <x:c r="F407" s="44" t="n">
        <x:v>4350</x:v>
      </x:c>
      <x:c r="G407" s="44" t="n">
        <x:v>8656</x:v>
      </x:c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43" t="n">
        <x:v>46240</x:v>
      </x:c>
      <x:c r="B408" s="44" t="n">
        <x:f>IF(COUNT(C408:D408)=2,SUM(C408:D408),"")</x:f>
        <x:v>291543</x:v>
      </x:c>
      <x:c r="C408" s="44" t="n">
        <x:v>264157</x:v>
      </x:c>
      <x:c r="D408" s="44" t="n">
        <x:v>27386</x:v>
      </x:c>
      <x:c r="E408" s="44" t="n">
        <x:v>23088</x:v>
      </x:c>
      <x:c r="F408" s="44" t="n">
        <x:v>4350</x:v>
      </x:c>
      <x:c r="G408" s="44" t="n">
        <x:v>8579</x:v>
      </x:c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43" t="n">
        <x:v>46241</x:v>
      </x:c>
      <x:c r="B409" s="44" t="n">
        <x:f>IF(COUNT(C409:D409)=2,SUM(C409:D409),"")</x:f>
        <x:v>296277</x:v>
      </x:c>
      <x:c r="C409" s="44" t="n">
        <x:v>267891</x:v>
      </x:c>
      <x:c r="D409" s="44" t="n">
        <x:v>28386</x:v>
      </x:c>
      <x:c r="E409" s="44" t="n">
        <x:v>23088</x:v>
      </x:c>
      <x:c r="F409" s="44" t="n">
        <x:v>4350</x:v>
      </x:c>
      <x:c r="G409" s="44" t="n">
        <x:v>8866</x:v>
      </x:c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43" t="n">
        <x:v>46242</x:v>
      </x:c>
      <x:c r="B410" s="44" t="n">
        <x:f>IF(COUNT(C410:D410)=2,SUM(C410:D410),"")</x:f>
        <x:v>141337</x:v>
      </x:c>
      <x:c r="C410" s="44" t="n">
        <x:v>126431</x:v>
      </x:c>
      <x:c r="D410" s="44" t="n">
        <x:v>14906</x:v>
      </x:c>
      <x:c r="E410" s="44" t="n">
        <x:v>23088</x:v>
      </x:c>
      <x:c r="F410" s="44" t="n">
        <x:v>4350</x:v>
      </x:c>
      <x:c r="G410" s="44" t="n">
        <x:v>5809</x:v>
      </x:c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43" t="n">
        <x:v>46243</x:v>
      </x:c>
      <x:c r="B411" s="44" t="n">
        <x:f>IF(COUNT(C411:D411)=2,SUM(C411:D411),"")</x:f>
        <x:v>110086</x:v>
      </x:c>
      <x:c r="C411" s="44" t="n">
        <x:v>99198</x:v>
      </x:c>
      <x:c r="D411" s="44" t="n">
        <x:v>10888</x:v>
      </x:c>
      <x:c r="E411" s="44" t="n">
        <x:v>23088</x:v>
      </x:c>
      <x:c r="F411" s="44" t="n">
        <x:v>4350</x:v>
      </x:c>
      <x:c r="G411" s="44" t="n">
        <x:v>3534</x:v>
      </x:c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43" t="n">
        <x:v>46244</x:v>
      </x:c>
      <x:c r="B412" s="44" t="n">
        <x:f>IF(COUNT(C412:D412)=2,SUM(C412:D412),"")</x:f>
        <x:v>230588</x:v>
      </x:c>
      <x:c r="C412" s="44" t="n">
        <x:v>208034</x:v>
      </x:c>
      <x:c r="D412" s="44" t="n">
        <x:v>22554</x:v>
      </x:c>
      <x:c r="E412" s="44" t="n">
        <x:v>23088</x:v>
      </x:c>
      <x:c r="F412" s="44" t="n">
        <x:v>4350</x:v>
      </x:c>
      <x:c r="G412" s="44" t="n">
        <x:v>7929</x:v>
      </x:c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43" t="n">
        <x:v>46245</x:v>
      </x:c>
      <x:c r="B413" s="44" t="n">
        <x:f>IF(COUNT(C413:D413)=2,SUM(C413:D413),"")</x:f>
        <x:v>289004</x:v>
      </x:c>
      <x:c r="C413" s="44" t="n">
        <x:v>261532</x:v>
      </x:c>
      <x:c r="D413" s="44" t="n">
        <x:v>27472</x:v>
      </x:c>
      <x:c r="E413" s="44" t="n">
        <x:v>23088</x:v>
      </x:c>
      <x:c r="F413" s="44" t="n">
        <x:v>4350</x:v>
      </x:c>
      <x:c r="G413" s="44" t="n">
        <x:v>8967</x:v>
      </x:c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43" t="n">
        <x:v>46246</x:v>
      </x:c>
      <x:c r="B414" s="44" t="n">
        <x:f>IF(COUNT(C414:D414)=2,SUM(C414:D414),"")</x:f>
        <x:v>296832</x:v>
      </x:c>
      <x:c r="C414" s="44" t="n">
        <x:v>268331</x:v>
      </x:c>
      <x:c r="D414" s="44" t="n">
        <x:v>28501</x:v>
      </x:c>
      <x:c r="E414" s="44" t="n">
        <x:v>23088</x:v>
      </x:c>
      <x:c r="F414" s="44" t="n">
        <x:v>4350</x:v>
      </x:c>
      <x:c r="G414" s="44" t="n">
        <x:v>9264</x:v>
      </x:c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43" t="n">
        <x:v>46247</x:v>
      </x:c>
      <x:c r="B415" s="44" t="n">
        <x:f>IF(COUNT(C415:D415)=2,SUM(C415:D415),"")</x:f>
        <x:v>285267</x:v>
      </x:c>
      <x:c r="C415" s="44" t="n">
        <x:v>258386</x:v>
      </x:c>
      <x:c r="D415" s="44" t="n">
        <x:v>26881</x:v>
      </x:c>
      <x:c r="E415" s="44" t="n">
        <x:v>23088</x:v>
      </x:c>
      <x:c r="F415" s="44" t="n">
        <x:v>4350</x:v>
      </x:c>
      <x:c r="G415" s="44" t="n">
        <x:v>8658</x:v>
      </x:c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43" t="n">
        <x:v>46248</x:v>
      </x:c>
      <x:c r="B416" s="44" t="n">
        <x:f>IF(COUNT(C416:D416)=2,SUM(C416:D416),"")</x:f>
        <x:v>268295</x:v>
      </x:c>
      <x:c r="C416" s="44" t="n">
        <x:v>241696</x:v>
      </x:c>
      <x:c r="D416" s="44" t="n">
        <x:v>26599</x:v>
      </x:c>
      <x:c r="E416" s="44" t="n">
        <x:v>23088</x:v>
      </x:c>
      <x:c r="F416" s="44" t="n">
        <x:v>4350</x:v>
      </x:c>
      <x:c r="G416" s="44" t="n">
        <x:v>8627</x:v>
      </x:c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43" t="n">
        <x:v>46249</x:v>
      </x:c>
      <x:c r="B417" s="44" t="n">
        <x:f>IF(COUNT(C417:D417)=2,SUM(C417:D417),"")</x:f>
        <x:v>198163</x:v>
      </x:c>
      <x:c r="C417" s="44" t="n">
        <x:v>177200</x:v>
      </x:c>
      <x:c r="D417" s="44" t="n">
        <x:v>20963</x:v>
      </x:c>
      <x:c r="E417" s="44" t="n">
        <x:v>23088</x:v>
      </x:c>
      <x:c r="F417" s="44" t="n">
        <x:v>4350</x:v>
      </x:c>
      <x:c r="G417" s="44" t="n">
        <x:v>7326</x:v>
      </x:c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43" t="n">
        <x:v>46250</x:v>
      </x:c>
      <x:c r="B418" s="44" t="n">
        <x:f>IF(COUNT(C418:D418)=2,SUM(C418:D418),"")</x:f>
        <x:v>203155</x:v>
      </x:c>
      <x:c r="C418" s="44" t="n">
        <x:v>182056</x:v>
      </x:c>
      <x:c r="D418" s="44" t="n">
        <x:v>21099</x:v>
      </x:c>
      <x:c r="E418" s="44" t="n">
        <x:v>23088</x:v>
      </x:c>
      <x:c r="F418" s="44" t="n">
        <x:v>4350</x:v>
      </x:c>
      <x:c r="G418" s="44" t="n">
        <x:v>7403</x:v>
      </x:c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43" t="n">
        <x:v>46251</x:v>
      </x:c>
      <x:c r="B419" s="44" t="n">
        <x:f>IF(COUNT(C419:D419)=2,SUM(C419:D419),"")</x:f>
        <x:v>288900</x:v>
      </x:c>
      <x:c r="C419" s="44" t="n">
        <x:v>262087</x:v>
      </x:c>
      <x:c r="D419" s="44" t="n">
        <x:v>26813</x:v>
      </x:c>
      <x:c r="E419" s="44" t="n">
        <x:v>23088</x:v>
      </x:c>
      <x:c r="F419" s="44" t="n">
        <x:v>4350</x:v>
      </x:c>
      <x:c r="G419" s="44" t="n">
        <x:v>9045</x:v>
      </x:c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43" t="n">
        <x:v>46252</x:v>
      </x:c>
      <x:c r="B420" s="44" t="n">
        <x:f>IF(COUNT(C420:D420)=2,SUM(C420:D420),"")</x:f>
        <x:v>281993</x:v>
      </x:c>
      <x:c r="C420" s="44" t="n">
        <x:v>255842</x:v>
      </x:c>
      <x:c r="D420" s="44" t="n">
        <x:v>26151</x:v>
      </x:c>
      <x:c r="E420" s="44" t="n">
        <x:v>23088</x:v>
      </x:c>
      <x:c r="F420" s="44" t="n">
        <x:v>4350</x:v>
      </x:c>
      <x:c r="G420" s="44" t="n">
        <x:v>8641</x:v>
      </x:c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43" t="n">
        <x:v>46253</x:v>
      </x:c>
      <x:c r="B421" s="44" t="n">
        <x:f>IF(COUNT(C421:D421)=2,SUM(C421:D421),"")</x:f>
        <x:v>210410</x:v>
      </x:c>
      <x:c r="C421" s="44" t="n">
        <x:v>190745</x:v>
      </x:c>
      <x:c r="D421" s="44" t="n">
        <x:v>19665</x:v>
      </x:c>
      <x:c r="E421" s="44" t="n">
        <x:v>23088</x:v>
      </x:c>
      <x:c r="F421" s="44" t="n">
        <x:v>4350</x:v>
      </x:c>
      <x:c r="G421" s="44" t="n">
        <x:v>7269</x:v>
      </x:c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43" t="n">
        <x:v>46254</x:v>
      </x:c>
      <x:c r="B422" s="44" t="n">
        <x:f>IF(COUNT(C422:D422)=2,SUM(C422:D422),"")</x:f>
        <x:v>176618</x:v>
      </x:c>
      <x:c r="C422" s="44" t="n">
        <x:v>159154</x:v>
      </x:c>
      <x:c r="D422" s="44" t="n">
        <x:v>17464</x:v>
      </x:c>
      <x:c r="E422" s="44" t="n">
        <x:v>23088</x:v>
      </x:c>
      <x:c r="F422" s="44" t="n">
        <x:v>4350</x:v>
      </x:c>
      <x:c r="G422" s="44" t="n">
        <x:v>6545</x:v>
      </x:c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43" t="n">
        <x:v>46255</x:v>
      </x:c>
      <x:c r="B423" s="44" t="n">
        <x:f>IF(COUNT(C423:D423)=2,SUM(C423:D423),"")</x:f>
        <x:v>181717</x:v>
      </x:c>
      <x:c r="C423" s="44" t="n">
        <x:v>163095</x:v>
      </x:c>
      <x:c r="D423" s="44" t="n">
        <x:v>18622</x:v>
      </x:c>
      <x:c r="E423" s="44" t="n">
        <x:v>23088</x:v>
      </x:c>
      <x:c r="F423" s="44" t="n">
        <x:v>4350</x:v>
      </x:c>
      <x:c r="G423" s="44" t="n">
        <x:v>6892</x:v>
      </x:c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43" t="n">
        <x:v>46256</x:v>
      </x:c>
      <x:c r="B424" s="44" t="n">
        <x:f>IF(COUNT(C424:D424)=2,SUM(C424:D424),"")</x:f>
        <x:v>169044</x:v>
      </x:c>
      <x:c r="C424" s="44" t="n">
        <x:v>151437</x:v>
      </x:c>
      <x:c r="D424" s="44" t="n">
        <x:v>17607</x:v>
      </x:c>
      <x:c r="E424" s="44" t="n">
        <x:v>23088</x:v>
      </x:c>
      <x:c r="F424" s="44" t="n">
        <x:v>4350</x:v>
      </x:c>
      <x:c r="G424" s="44" t="n">
        <x:v>6557</x:v>
      </x:c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43" t="n">
        <x:v>46257</x:v>
      </x:c>
      <x:c r="B425" s="44" t="n">
        <x:f>IF(COUNT(C425:D425)=2,SUM(C425:D425),"")</x:f>
        <x:v>211627</x:v>
      </x:c>
      <x:c r="C425" s="44" t="n">
        <x:v>190064</x:v>
      </x:c>
      <x:c r="D425" s="44" t="n">
        <x:v>21563</x:v>
      </x:c>
      <x:c r="E425" s="44" t="n">
        <x:v>23088</x:v>
      </x:c>
      <x:c r="F425" s="44" t="n">
        <x:v>4350</x:v>
      </x:c>
      <x:c r="G425" s="44" t="n">
        <x:v>7987</x:v>
      </x:c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43" t="n">
        <x:v>46258</x:v>
      </x:c>
      <x:c r="B426" s="44" t="n">
        <x:f>IF(COUNT(C426:D426)=2,SUM(C426:D426),"")</x:f>
        <x:v>126030</x:v>
      </x:c>
      <x:c r="C426" s="44" t="n">
        <x:v>114133</x:v>
      </x:c>
      <x:c r="D426" s="44" t="n">
        <x:v>11897</x:v>
      </x:c>
      <x:c r="E426" s="44" t="n">
        <x:v>23088</x:v>
      </x:c>
      <x:c r="F426" s="44" t="n">
        <x:v>4350</x:v>
      </x:c>
      <x:c r="G426" s="44" t="n">
        <x:v>4783</x:v>
      </x:c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43" t="n">
        <x:v>46259</x:v>
      </x:c>
      <x:c r="B427" s="44" t="n">
        <x:f>IF(COUNT(C427:D427)=2,SUM(C427:D427),"")</x:f>
        <x:v>185554</x:v>
      </x:c>
      <x:c r="C427" s="44" t="n">
        <x:v>168096</x:v>
      </x:c>
      <x:c r="D427" s="44" t="n">
        <x:v>17458</x:v>
      </x:c>
      <x:c r="E427" s="44" t="n">
        <x:v>23088</x:v>
      </x:c>
      <x:c r="F427" s="44" t="n">
        <x:v>4350</x:v>
      </x:c>
      <x:c r="G427" s="44" t="n">
        <x:v>7035</x:v>
      </x:c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43" t="n">
        <x:v>46260</x:v>
      </x:c>
      <x:c r="B428" s="44" t="n">
        <x:f>IF(COUNT(C428:D428)=2,SUM(C428:D428),"")</x:f>
        <x:v>305792</x:v>
      </x:c>
      <x:c r="C428" s="44" t="n">
        <x:v>278106</x:v>
      </x:c>
      <x:c r="D428" s="44" t="n">
        <x:v>27686</x:v>
      </x:c>
      <x:c r="E428" s="44" t="n">
        <x:v>23088</x:v>
      </x:c>
      <x:c r="F428" s="44" t="n">
        <x:v>4350</x:v>
      </x:c>
      <x:c r="G428" s="44" t="n">
        <x:v>9834</x:v>
      </x:c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43" t="n">
        <x:v>46261</x:v>
      </x:c>
      <x:c r="B429" s="44" t="n">
        <x:f>IF(COUNT(C429:D429)=2,SUM(C429:D429),"")</x:f>
        <x:v>295671</x:v>
      </x:c>
      <x:c r="C429" s="44" t="n">
        <x:v>268540</x:v>
      </x:c>
      <x:c r="D429" s="44" t="n">
        <x:v>27131</x:v>
      </x:c>
      <x:c r="E429" s="44" t="n">
        <x:v>23088</x:v>
      </x:c>
      <x:c r="F429" s="44" t="n">
        <x:v>4350</x:v>
      </x:c>
      <x:c r="G429" s="44" t="n">
        <x:v>9527</x:v>
      </x:c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43" t="n">
        <x:v>46262</x:v>
      </x:c>
      <x:c r="B430" s="44" t="n">
        <x:f>IF(COUNT(C430:D430)=2,SUM(C430:D430),"")</x:f>
        <x:v>303995</x:v>
      </x:c>
      <x:c r="C430" s="44" t="n">
        <x:v>275336</x:v>
      </x:c>
      <x:c r="D430" s="44" t="n">
        <x:v>28659</x:v>
      </x:c>
      <x:c r="E430" s="44" t="n">
        <x:v>23088</x:v>
      </x:c>
      <x:c r="F430" s="44" t="n">
        <x:v>4350</x:v>
      </x:c>
      <x:c r="G430" s="44" t="n">
        <x:v>10070</x:v>
      </x:c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43" t="n">
        <x:v>46263</x:v>
      </x:c>
      <x:c r="B431" s="44" t="n">
        <x:f>IF(COUNT(C431:D431)=2,SUM(C431:D431),"")</x:f>
        <x:v>193439</x:v>
      </x:c>
      <x:c r="C431" s="44" t="n">
        <x:v>173442</x:v>
      </x:c>
      <x:c r="D431" s="44" t="n">
        <x:v>19997</x:v>
      </x:c>
      <x:c r="E431" s="44" t="n">
        <x:v>23088</x:v>
      </x:c>
      <x:c r="F431" s="44" t="n">
        <x:v>4350</x:v>
      </x:c>
      <x:c r="G431" s="44" t="n">
        <x:v>7447</x:v>
      </x:c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43" t="n">
        <x:v>46264</x:v>
      </x:c>
      <x:c r="B432" s="44" t="n">
        <x:f>IF(COUNT(C432:D432)=2,SUM(C432:D432),"")</x:f>
        <x:v>234613</x:v>
      </x:c>
      <x:c r="C432" s="44" t="n">
        <x:v>211635</x:v>
      </x:c>
      <x:c r="D432" s="44" t="n">
        <x:v>22978</x:v>
      </x:c>
      <x:c r="E432" s="44" t="n">
        <x:v>23088</x:v>
      </x:c>
      <x:c r="F432" s="44" t="n">
        <x:v>4350</x:v>
      </x:c>
      <x:c r="G432" s="44" t="n">
        <x:v>8440</x:v>
      </x:c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43" t="n">
        <x:v>46265</x:v>
      </x:c>
      <x:c r="B433" s="44" t="n">
        <x:f>IF(COUNT(C433:D433)=2,SUM(C433:D433),"")</x:f>
        <x:v>293454</x:v>
      </x:c>
      <x:c r="C433" s="44" t="n">
        <x:v>267039</x:v>
      </x:c>
      <x:c r="D433" s="44" t="n">
        <x:v>26415</x:v>
      </x:c>
      <x:c r="E433" s="44" t="n">
        <x:v>23088</x:v>
      </x:c>
      <x:c r="F433" s="44" t="n">
        <x:v>4350</x:v>
      </x:c>
      <x:c r="G433" s="44" t="n">
        <x:v>9549</x:v>
      </x:c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43" t="n">
        <x:v>46266</x:v>
      </x:c>
      <x:c r="B434" s="44" t="n">
        <x:v>173401</x:v>
      </x:c>
      <x:c r="C434" s="44" t="n">
        <x:v>156608</x:v>
      </x:c>
      <x:c r="D434" s="44" t="n">
        <x:v>16793</x:v>
      </x:c>
      <x:c r="E434" s="44" t="n">
        <x:v>23129</x:v>
      </x:c>
      <x:c r="F434" s="44" t="n">
        <x:v>4500</x:v>
      </x:c>
      <x:c r="G434" s="44" t="n">
        <x:v>6823</x:v>
      </x:c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43" t="n">
        <x:v>46267</x:v>
      </x:c>
      <x:c r="B435" s="44" t="n">
        <x:v>309417</x:v>
      </x:c>
      <x:c r="C435" s="44" t="n">
        <x:v>280266</x:v>
      </x:c>
      <x:c r="D435" s="44" t="n">
        <x:v>29151</x:v>
      </x:c>
      <x:c r="E435" s="44" t="n">
        <x:v>23129</x:v>
      </x:c>
      <x:c r="F435" s="44" t="n">
        <x:v>4500</x:v>
      </x:c>
      <x:c r="G435" s="44" t="n">
        <x:v>10095</x:v>
      </x:c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43" t="n">
        <x:v>46268</x:v>
      </x:c>
      <x:c r="B436" s="44" t="n">
        <x:v>70106</x:v>
      </x:c>
      <x:c r="C436" s="44" t="n">
        <x:v>63347</x:v>
      </x:c>
      <x:c r="D436" s="44" t="n">
        <x:v>6759</x:v>
      </x:c>
      <x:c r="E436" s="44" t="n">
        <x:v>23129</x:v>
      </x:c>
      <x:c r="F436" s="44" t="n">
        <x:v>4500</x:v>
      </x:c>
      <x:c r="G436" s="44" t="n">
        <x:v>2785</x:v>
      </x:c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43" t="n">
        <x:v>46269</x:v>
      </x:c>
      <x:c r="B437" s="44" t="n">
        <x:v>87037</x:v>
      </x:c>
      <x:c r="C437" s="44" t="n">
        <x:v>78846</x:v>
      </x:c>
      <x:c r="D437" s="44" t="n">
        <x:v>8191</x:v>
      </x:c>
      <x:c r="E437" s="44" t="n">
        <x:v>23129</x:v>
      </x:c>
      <x:c r="F437" s="44" t="n">
        <x:v>4500</x:v>
      </x:c>
      <x:c r="G437" s="44" t="n">
        <x:v>3034</x:v>
      </x:c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43" t="n">
        <x:v>46270</x:v>
      </x:c>
      <x:c r="B438" s="44" t="n">
        <x:v>194593</x:v>
      </x:c>
      <x:c r="C438" s="44" t="n">
        <x:v>175490</x:v>
      </x:c>
      <x:c r="D438" s="44" t="n">
        <x:v>19103</x:v>
      </x:c>
      <x:c r="E438" s="44" t="n">
        <x:v>23129</x:v>
      </x:c>
      <x:c r="F438" s="44" t="n">
        <x:v>4500</x:v>
      </x:c>
      <x:c r="G438" s="44" t="n">
        <x:v>6928</x:v>
      </x:c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43" t="n">
        <x:v>46271</x:v>
      </x:c>
      <x:c r="B439" s="44" t="n">
        <x:v>73316</x:v>
      </x:c>
      <x:c r="C439" s="44" t="n">
        <x:v>66112</x:v>
      </x:c>
      <x:c r="D439" s="44" t="n">
        <x:v>7204</x:v>
      </x:c>
      <x:c r="E439" s="44" t="n">
        <x:v>23129</x:v>
      </x:c>
      <x:c r="F439" s="44" t="n">
        <x:v>4500</x:v>
      </x:c>
      <x:c r="G439" s="44" t="n">
        <x:v>2799</x:v>
      </x:c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43" t="n">
        <x:v>46272</x:v>
      </x:c>
      <x:c r="B440" s="44" t="n">
        <x:v>325148</x:v>
      </x:c>
      <x:c r="C440" s="44" t="n">
        <x:v>295130</x:v>
      </x:c>
      <x:c r="D440" s="44" t="n">
        <x:v>30018</x:v>
      </x:c>
      <x:c r="E440" s="44" t="n">
        <x:v>23129</x:v>
      </x:c>
      <x:c r="F440" s="44" t="n">
        <x:v>4500</x:v>
      </x:c>
      <x:c r="G440" s="44" t="n">
        <x:v>10288</x:v>
      </x:c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43" t="n">
        <x:v>46273</x:v>
      </x:c>
      <x:c r="B441" s="44" t="n">
        <x:v>318370</x:v>
      </x:c>
      <x:c r="C441" s="44" t="n">
        <x:v>288413</x:v>
      </x:c>
      <x:c r="D441" s="44" t="n">
        <x:v>29957</x:v>
      </x:c>
      <x:c r="E441" s="44" t="n">
        <x:v>23129</x:v>
      </x:c>
      <x:c r="F441" s="44" t="n">
        <x:v>4500</x:v>
      </x:c>
      <x:c r="G441" s="44" t="n">
        <x:v>10101</x:v>
      </x:c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43" t="n">
        <x:v>46274</x:v>
      </x:c>
      <x:c r="B442" s="44" t="n">
        <x:v>303345</x:v>
      </x:c>
      <x:c r="C442" s="44" t="n">
        <x:v>274391</x:v>
      </x:c>
      <x:c r="D442" s="44" t="n">
        <x:v>28954</x:v>
      </x:c>
      <x:c r="E442" s="44" t="n">
        <x:v>23129</x:v>
      </x:c>
      <x:c r="F442" s="44" t="n">
        <x:v>4500</x:v>
      </x:c>
      <x:c r="G442" s="44" t="n">
        <x:v>10096</x:v>
      </x:c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43" t="n">
        <x:v>46275</x:v>
      </x:c>
      <x:c r="B443" s="44" t="n">
        <x:v>284034</x:v>
      </x:c>
      <x:c r="C443" s="44" t="n">
        <x:v>257070</x:v>
      </x:c>
      <x:c r="D443" s="44" t="n">
        <x:v>26964</x:v>
      </x:c>
      <x:c r="E443" s="44" t="n">
        <x:v>23129</x:v>
      </x:c>
      <x:c r="F443" s="44" t="n">
        <x:v>4500</x:v>
      </x:c>
      <x:c r="G443" s="44" t="n">
        <x:v>9513</x:v>
      </x:c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43" t="n">
        <x:v>46276</x:v>
      </x:c>
      <x:c r="B444" s="44" t="n">
        <x:v>212352</x:v>
      </x:c>
      <x:c r="C444" s="44" t="n">
        <x:v>191777</x:v>
      </x:c>
      <x:c r="D444" s="44" t="n">
        <x:v>20575</x:v>
      </x:c>
      <x:c r="E444" s="44" t="n">
        <x:v>23129</x:v>
      </x:c>
      <x:c r="F444" s="44" t="n">
        <x:v>4500</x:v>
      </x:c>
      <x:c r="G444" s="44" t="n">
        <x:v>7625</x:v>
      </x:c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43" t="n">
        <x:v>46277</x:v>
      </x:c>
      <x:c r="B445" s="44" t="n">
        <x:v>228120</x:v>
      </x:c>
      <x:c r="C445" s="44" t="n">
        <x:v>204997</x:v>
      </x:c>
      <x:c r="D445" s="44" t="n">
        <x:v>23123</x:v>
      </x:c>
      <x:c r="E445" s="44" t="n">
        <x:v>23129</x:v>
      </x:c>
      <x:c r="F445" s="44" t="n">
        <x:v>4500</x:v>
      </x:c>
      <x:c r="G445" s="44" t="n">
        <x:v>7794</x:v>
      </x:c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43" t="n">
        <x:v>46278</x:v>
      </x:c>
      <x:c r="B446" s="44" t="n">
        <x:v>251162</x:v>
      </x:c>
      <x:c r="C446" s="44" t="n">
        <x:v>224834</x:v>
      </x:c>
      <x:c r="D446" s="44" t="n">
        <x:v>26328</x:v>
      </x:c>
      <x:c r="E446" s="44" t="n">
        <x:v>23129</x:v>
      </x:c>
      <x:c r="F446" s="44" t="n">
        <x:v>4500</x:v>
      </x:c>
      <x:c r="G446" s="44" t="n">
        <x:v>8992</x:v>
      </x:c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43" t="n">
        <x:v>46279</x:v>
      </x:c>
      <x:c r="B447" s="44" t="n">
        <x:v>255044</x:v>
      </x:c>
      <x:c r="C447" s="44" t="n">
        <x:v>230984</x:v>
      </x:c>
      <x:c r="D447" s="44" t="n">
        <x:v>24060</x:v>
      </x:c>
      <x:c r="E447" s="44" t="n">
        <x:v>23129</x:v>
      </x:c>
      <x:c r="F447" s="44" t="n">
        <x:v>4500</x:v>
      </x:c>
      <x:c r="G447" s="44" t="n">
        <x:v>8574</x:v>
      </x:c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43" t="n">
        <x:v>46280</x:v>
      </x:c>
      <x:c r="B448" s="44" t="n">
        <x:v>303497</x:v>
      </x:c>
      <x:c r="C448" s="44" t="n">
        <x:v>275039</x:v>
      </x:c>
      <x:c r="D448" s="44" t="n">
        <x:v>28458</x:v>
      </x:c>
      <x:c r="E448" s="44" t="n">
        <x:v>23129</x:v>
      </x:c>
      <x:c r="F448" s="44" t="n">
        <x:v>4500</x:v>
      </x:c>
      <x:c r="G448" s="44" t="n">
        <x:v>10225</x:v>
      </x:c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43" t="n">
        <x:v>46281</x:v>
      </x:c>
      <x:c r="B449" s="44" t="n">
        <x:v>324608</x:v>
      </x:c>
      <x:c r="C449" s="44" t="n">
        <x:v>293283</x:v>
      </x:c>
      <x:c r="D449" s="44" t="n">
        <x:v>31325</x:v>
      </x:c>
      <x:c r="E449" s="44" t="n">
        <x:v>23129</x:v>
      </x:c>
      <x:c r="F449" s="44" t="n">
        <x:v>4500</x:v>
      </x:c>
      <x:c r="G449" s="44" t="n">
        <x:v>10736</x:v>
      </x:c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43" t="n">
        <x:v>46282</x:v>
      </x:c>
      <x:c r="B450" s="44" t="n">
        <x:v>319886</x:v>
      </x:c>
      <x:c r="C450" s="44" t="n">
        <x:v>289066</x:v>
      </x:c>
      <x:c r="D450" s="44" t="n">
        <x:v>30820</x:v>
      </x:c>
      <x:c r="E450" s="44" t="n">
        <x:v>23129</x:v>
      </x:c>
      <x:c r="F450" s="44" t="n">
        <x:v>4500</x:v>
      </x:c>
      <x:c r="G450" s="44" t="n">
        <x:v>10596</x:v>
      </x:c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43" t="n">
        <x:v>46283</x:v>
      </x:c>
      <x:c r="B451" s="44" t="n">
        <x:v>329763</x:v>
      </x:c>
      <x:c r="C451" s="44" t="n">
        <x:v>296217</x:v>
      </x:c>
      <x:c r="D451" s="44" t="n">
        <x:v>33546</x:v>
      </x:c>
      <x:c r="E451" s="44" t="n">
        <x:v>23129</x:v>
      </x:c>
      <x:c r="F451" s="44" t="n">
        <x:v>4500</x:v>
      </x:c>
      <x:c r="G451" s="44" t="n">
        <x:v>10953</x:v>
      </x:c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43" t="n">
        <x:v>46284</x:v>
      </x:c>
      <x:c r="B452" s="44" t="n">
        <x:v>278146</x:v>
      </x:c>
      <x:c r="C452" s="44" t="n">
        <x:v>249516</x:v>
      </x:c>
      <x:c r="D452" s="44" t="n">
        <x:v>28630</x:v>
      </x:c>
      <x:c r="E452" s="44" t="n">
        <x:v>23129</x:v>
      </x:c>
      <x:c r="F452" s="44" t="n">
        <x:v>4500</x:v>
      </x:c>
      <x:c r="G452" s="44" t="n">
        <x:v>9649</x:v>
      </x:c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43" t="n">
        <x:v>46285</x:v>
      </x:c>
      <x:c r="B453" s="44" t="n">
        <x:v>244325</x:v>
      </x:c>
      <x:c r="C453" s="44" t="n">
        <x:v>220360</x:v>
      </x:c>
      <x:c r="D453" s="44" t="n">
        <x:v>23965</x:v>
      </x:c>
      <x:c r="E453" s="44" t="n">
        <x:v>23129</x:v>
      </x:c>
      <x:c r="F453" s="44" t="n">
        <x:v>4500</x:v>
      </x:c>
      <x:c r="G453" s="44" t="n">
        <x:v>8668</x:v>
      </x:c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43" t="n">
        <x:v>46286</x:v>
      </x:c>
      <x:c r="B454" s="44" t="n">
        <x:v>311273</x:v>
      </x:c>
      <x:c r="C454" s="44" t="n">
        <x:v>283110</x:v>
      </x:c>
      <x:c r="D454" s="44" t="n">
        <x:v>28163</x:v>
      </x:c>
      <x:c r="E454" s="44" t="n">
        <x:v>23129</x:v>
      </x:c>
      <x:c r="F454" s="44" t="n">
        <x:v>4500</x:v>
      </x:c>
      <x:c r="G454" s="44" t="n">
        <x:v>9856</x:v>
      </x:c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43" t="n">
        <x:v>46287</x:v>
      </x:c>
      <x:c r="B455" s="44" t="n">
        <x:v>313142</x:v>
      </x:c>
      <x:c r="C455" s="44" t="n">
        <x:v>283150</x:v>
      </x:c>
      <x:c r="D455" s="44" t="n">
        <x:v>29992</x:v>
      </x:c>
      <x:c r="E455" s="44" t="n">
        <x:v>23129</x:v>
      </x:c>
      <x:c r="F455" s="44" t="n">
        <x:v>4500</x:v>
      </x:c>
      <x:c r="G455" s="44" t="n">
        <x:v>10145</x:v>
      </x:c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43" t="n">
        <x:v>46288</x:v>
      </x:c>
      <x:c r="B456" s="44" t="n">
        <x:v>322530</x:v>
      </x:c>
      <x:c r="C456" s="44" t="n">
        <x:v>290742</x:v>
      </x:c>
      <x:c r="D456" s="44" t="n">
        <x:v>31788</x:v>
      </x:c>
      <x:c r="E456" s="44" t="n">
        <x:v>23129</x:v>
      </x:c>
      <x:c r="F456" s="44" t="n">
        <x:v>4500</x:v>
      </x:c>
      <x:c r="G456" s="44" t="n">
        <x:v>10941</x:v>
      </x:c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43" t="n">
        <x:v>46289</x:v>
      </x:c>
      <x:c r="B457" s="44" t="n">
        <x:v>320774</x:v>
      </x:c>
      <x:c r="C457" s="44" t="n">
        <x:v>287976</x:v>
      </x:c>
      <x:c r="D457" s="44" t="n">
        <x:v>32798</x:v>
      </x:c>
      <x:c r="E457" s="44" t="n">
        <x:v>23129</x:v>
      </x:c>
      <x:c r="F457" s="44" t="n">
        <x:v>4500</x:v>
      </x:c>
      <x:c r="G457" s="44" t="n">
        <x:v>10834</x:v>
      </x:c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43" t="n">
        <x:v>46290</x:v>
      </x:c>
      <x:c r="B458" s="44" t="n">
        <x:v>212421</x:v>
      </x:c>
      <x:c r="C458" s="44" t="n">
        <x:v>188464</x:v>
      </x:c>
      <x:c r="D458" s="44" t="n">
        <x:v>23957</x:v>
      </x:c>
      <x:c r="E458" s="44" t="n">
        <x:v>23129</x:v>
      </x:c>
      <x:c r="F458" s="44" t="n">
        <x:v>4500</x:v>
      </x:c>
      <x:c r="G458" s="44" t="n">
        <x:v>8915</x:v>
      </x:c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43" t="n">
        <x:v>46291</x:v>
      </x:c>
      <x:c r="B459" s="44" t="n">
        <x:v>215779</x:v>
      </x:c>
      <x:c r="C459" s="44" t="n">
        <x:v>191721</x:v>
      </x:c>
      <x:c r="D459" s="44" t="n">
        <x:v>24058</x:v>
      </x:c>
      <x:c r="E459" s="44" t="n">
        <x:v>23129</x:v>
      </x:c>
      <x:c r="F459" s="44" t="n">
        <x:v>4500</x:v>
      </x:c>
      <x:c r="G459" s="44" t="n">
        <x:v>8699</x:v>
      </x:c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43" t="n">
        <x:v>46292</x:v>
      </x:c>
      <x:c r="B460" s="44" t="n">
        <x:v>216680</x:v>
      </x:c>
      <x:c r="C460" s="44" t="n">
        <x:v>193605</x:v>
      </x:c>
      <x:c r="D460" s="44" t="n">
        <x:v>23075</x:v>
      </x:c>
      <x:c r="E460" s="44" t="n">
        <x:v>23129</x:v>
      </x:c>
      <x:c r="F460" s="44" t="n">
        <x:v>4500</x:v>
      </x:c>
      <x:c r="G460" s="44" t="n">
        <x:v>8317</x:v>
      </x:c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43" t="n">
        <x:v>46293</x:v>
      </x:c>
      <x:c r="B461" s="44" t="str">
        <x:f>IF(COUNT(C461:D461)=2,SUM(C461:D461),"")</x:f>
      </x:c>
      <x:c r="C461" s="44"/>
      <x:c r="D461" s="44"/>
      <x:c r="E461" s="44"/>
      <x:c r="F461" s="44"/>
      <x:c r="G461" s="44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43" t="n">
        <x:v>46294</x:v>
      </x:c>
      <x:c r="B462" s="44" t="str">
        <x:f>IF(COUNT(C462:D462)=2,SUM(C462:D462),"")</x:f>
      </x:c>
      <x:c r="C462" s="44"/>
      <x:c r="D462" s="44"/>
      <x:c r="E462" s="44"/>
      <x:c r="F462" s="44"/>
      <x:c r="G462" s="44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45" t="n">
        <x:v>46295</x:v>
      </x:c>
      <x:c r="B463" s="46" t="str">
        <x:f>IF(COUNT(C463:D463)=2,SUM(C463:D463),"")</x:f>
      </x:c>
      <x:c r="C463" s="46"/>
      <x:c r="D463" s="46"/>
      <x:c r="E463" s="46"/>
      <x:c r="F463" s="46"/>
      <x:c r="G463" s="46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1:G1"/>
    <x:mergeCell ref="A2:G2"/>
  </x:mergeCells>
  <x:conditionalFormatting sqref="A7:G463">
    <x:cfRule type="expression" dxfId="0" priority="1">
      <x:formula>$A7&gt;$D$4</x:formula>
    </x:cfRule>
  </x:conditionalFormatting>
  <x:pageMargins left="0.7" right="0.7" top="0.75" bottom="0.75" header="0.3" footer="0.3"/>
  <x:legacyDrawing xmlns:r="http://schemas.openxmlformats.org/officeDocument/2006/relationships" r:id="R746400de8b844336"/>
  <x:tableParts count="1">
    <x:tablePart xmlns:r="http://schemas.openxmlformats.org/officeDocument/2006/relationships" r:id="R2ae5ba95ca2549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5" hidden="0" customWidth="1"/>
  </x:cols>
  <x:sheetData>
    <x:row r="1" ht="32" customHeight="1">
      <x:c r="A1" s="5" t="str">
        <x:v>新北市每日營運數據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2" customHeight="1">
      <x:c r="A2" s="9" t="str">
        <x:v>需求期間 2025-07-01～2026-09-30；Report 平台目前可得至 2026-09-27，其後日期保留列並留白。</x:v>
      </x:c>
      <x:c r="B2" s="9"/>
      <x:c r="C2" s="9"/>
      <x:c r="D2" s="9"/>
      <x:c r="E2" s="9"/>
      <x:c r="F2" s="9"/>
      <x:c r="G2" s="9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6" customHeight="1">
      <x:c r="A4" s="16" t="str">
        <x:v>平台已取得天數</x:v>
      </x:c>
      <x:c r="B4" s="20" t="n">
        <x:v>454</x:v>
      </x:c>
      <x:c r="C4" s="18" t="str">
        <x:v>最新資料日</x:v>
      </x:c>
      <x:c r="D4" s="21" t="n">
        <x:v>46292</x:v>
      </x:c>
      <x:c r="E4" s="18" t="str">
        <x:v>未有資料日</x:v>
      </x:c>
      <x:c r="F4" s="22" t="n">
        <x:v>3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2" customHeight="1">
      <x:c r="A6" s="34" t="str">
        <x:v>日期</x:v>
      </x:c>
      <x:c r="B6" s="35" t="str">
        <x:v>總用量</x:v>
      </x:c>
      <x:c r="C6" s="35" t="str">
        <x:v>2.0次數</x:v>
      </x:c>
      <x:c r="D6" s="35" t="str">
        <x:v>2.0E次數</x:v>
      </x:c>
      <x:c r="E6" s="35" t="str">
        <x:v>2.0合約車輛數</x:v>
      </x:c>
      <x:c r="F6" s="35" t="str">
        <x:v>2.0E合約車輛數</x:v>
      </x:c>
      <x:c r="G6" s="36" t="str">
        <x:v>2.0E敬老愛心卡使用次數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41" t="n">
        <x:v>45839</x:v>
      </x:c>
      <x:c r="B7" s="42" t="n">
        <x:f>IF(COUNT(C7:D7)=2,SUM(C7:D7),"")</x:f>
        <x:v>130139</x:v>
      </x:c>
      <x:c r="C7" s="42" t="n">
        <x:v>121006</x:v>
      </x:c>
      <x:c r="D7" s="42" t="n">
        <x:v>9133</x:v>
      </x:c>
      <x:c r="E7" s="42" t="n">
        <x:v>21379</x:v>
      </x:c>
      <x:c r="F7" s="42" t="n">
        <x:v>2100</x:v>
      </x:c>
      <x:c r="G7" s="42" t="n">
        <x:v>649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43" t="n">
        <x:v>45840</x:v>
      </x:c>
      <x:c r="B8" s="44" t="n">
        <x:f>IF(COUNT(C8:D8)=2,SUM(C8:D8),"")</x:f>
        <x:v>129427</x:v>
      </x:c>
      <x:c r="C8" s="44" t="n">
        <x:v>120404</x:v>
      </x:c>
      <x:c r="D8" s="44" t="n">
        <x:v>9023</x:v>
      </x:c>
      <x:c r="E8" s="44" t="n">
        <x:v>21379</x:v>
      </x:c>
      <x:c r="F8" s="44" t="n">
        <x:v>2100</x:v>
      </x:c>
      <x:c r="G8" s="44" t="n">
        <x:v>673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43" t="n">
        <x:v>45841</x:v>
      </x:c>
      <x:c r="B9" s="44" t="n">
        <x:f>IF(COUNT(C9:D9)=2,SUM(C9:D9),"")</x:f>
        <x:v>129899</x:v>
      </x:c>
      <x:c r="C9" s="44" t="n">
        <x:v>120524</x:v>
      </x:c>
      <x:c r="D9" s="44" t="n">
        <x:v>9375</x:v>
      </x:c>
      <x:c r="E9" s="44" t="n">
        <x:v>21379</x:v>
      </x:c>
      <x:c r="F9" s="44" t="n">
        <x:v>2100</x:v>
      </x:c>
      <x:c r="G9" s="44" t="n">
        <x:v>709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43" t="n">
        <x:v>45842</x:v>
      </x:c>
      <x:c r="B10" s="44" t="n">
        <x:f>IF(COUNT(C10:D10)=2,SUM(C10:D10),"")</x:f>
        <x:v>134186</x:v>
      </x:c>
      <x:c r="C10" s="44" t="n">
        <x:v>124311</x:v>
      </x:c>
      <x:c r="D10" s="44" t="n">
        <x:v>9875</x:v>
      </x:c>
      <x:c r="E10" s="44" t="n">
        <x:v>21379</x:v>
      </x:c>
      <x:c r="F10" s="44" t="n">
        <x:v>2100</x:v>
      </x:c>
      <x:c r="G10" s="44" t="n">
        <x:v>685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43" t="n">
        <x:v>45843</x:v>
      </x:c>
      <x:c r="B11" s="44" t="n">
        <x:f>IF(COUNT(C11:D11)=2,SUM(C11:D11),"")</x:f>
        <x:v>122980</x:v>
      </x:c>
      <x:c r="C11" s="44" t="n">
        <x:v>113368</x:v>
      </x:c>
      <x:c r="D11" s="44" t="n">
        <x:v>9612</x:v>
      </x:c>
      <x:c r="E11" s="44" t="n">
        <x:v>21379</x:v>
      </x:c>
      <x:c r="F11" s="44" t="n">
        <x:v>2100</x:v>
      </x:c>
      <x:c r="G11" s="44" t="n">
        <x:v>684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43" t="n">
        <x:v>45844</x:v>
      </x:c>
      <x:c r="B12" s="44" t="n">
        <x:f>IF(COUNT(C12:D12)=2,SUM(C12:D12),"")</x:f>
        <x:v>97329</x:v>
      </x:c>
      <x:c r="C12" s="44" t="n">
        <x:v>90096</x:v>
      </x:c>
      <x:c r="D12" s="44" t="n">
        <x:v>7233</x:v>
      </x:c>
      <x:c r="E12" s="44" t="n">
        <x:v>21379</x:v>
      </x:c>
      <x:c r="F12" s="44" t="n">
        <x:v>2100</x:v>
      </x:c>
      <x:c r="G12" s="44" t="n">
        <x:v>619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43" t="n">
        <x:v>45845</x:v>
      </x:c>
      <x:c r="B13" s="44" t="n">
        <x:f>IF(COUNT(C13:D13)=2,SUM(C13:D13),"")</x:f>
        <x:v>85981</x:v>
      </x:c>
      <x:c r="C13" s="44" t="n">
        <x:v>80674</x:v>
      </x:c>
      <x:c r="D13" s="44" t="n">
        <x:v>5307</x:v>
      </x:c>
      <x:c r="E13" s="44" t="n">
        <x:v>21379</x:v>
      </x:c>
      <x:c r="F13" s="44" t="n">
        <x:v>2100</x:v>
      </x:c>
      <x:c r="G13" s="44" t="n">
        <x:v>399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43" t="n">
        <x:v>45846</x:v>
      </x:c>
      <x:c r="B14" s="44" t="n">
        <x:f>IF(COUNT(C14:D14)=2,SUM(C14:D14),"")</x:f>
        <x:v>130645</x:v>
      </x:c>
      <x:c r="C14" s="44" t="n">
        <x:v>121563</x:v>
      </x:c>
      <x:c r="D14" s="44" t="n">
        <x:v>9082</x:v>
      </x:c>
      <x:c r="E14" s="44" t="n">
        <x:v>21379</x:v>
      </x:c>
      <x:c r="F14" s="44" t="n">
        <x:v>2100</x:v>
      </x:c>
      <x:c r="G14" s="44" t="n">
        <x:v>744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43" t="n">
        <x:v>45847</x:v>
      </x:c>
      <x:c r="B15" s="44" t="n">
        <x:f>IF(COUNT(C15:D15)=2,SUM(C15:D15),"")</x:f>
        <x:v>49845</x:v>
      </x:c>
      <x:c r="C15" s="44" t="n">
        <x:v>46766</x:v>
      </x:c>
      <x:c r="D15" s="44" t="n">
        <x:v>3079</x:v>
      </x:c>
      <x:c r="E15" s="44" t="n">
        <x:v>21379</x:v>
      </x:c>
      <x:c r="F15" s="44" t="n">
        <x:v>2100</x:v>
      </x:c>
      <x:c r="G15" s="44" t="n">
        <x:v>239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43" t="n">
        <x:v>45848</x:v>
      </x:c>
      <x:c r="B16" s="44" t="n">
        <x:f>IF(COUNT(C16:D16)=2,SUM(C16:D16),"")</x:f>
        <x:v>82330</x:v>
      </x:c>
      <x:c r="C16" s="44" t="n">
        <x:v>77141</x:v>
      </x:c>
      <x:c r="D16" s="44" t="n">
        <x:v>5189</x:v>
      </x:c>
      <x:c r="E16" s="44" t="n">
        <x:v>21379</x:v>
      </x:c>
      <x:c r="F16" s="44" t="n">
        <x:v>2100</x:v>
      </x:c>
      <x:c r="G16" s="44" t="n">
        <x:v>410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43" t="n">
        <x:v>45849</x:v>
      </x:c>
      <x:c r="B17" s="44" t="n">
        <x:f>IF(COUNT(C17:D17)=2,SUM(C17:D17),"")</x:f>
        <x:v>118614</x:v>
      </x:c>
      <x:c r="C17" s="44" t="n">
        <x:v>110423</x:v>
      </x:c>
      <x:c r="D17" s="44" t="n">
        <x:v>8191</x:v>
      </x:c>
      <x:c r="E17" s="44" t="n">
        <x:v>21379</x:v>
      </x:c>
      <x:c r="F17" s="44" t="n">
        <x:v>2100</x:v>
      </x:c>
      <x:c r="G17" s="44" t="n">
        <x:v>699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43" t="n">
        <x:v>45850</x:v>
      </x:c>
      <x:c r="B18" s="44" t="n">
        <x:f>IF(COUNT(C18:D18)=2,SUM(C18:D18),"")</x:f>
        <x:v>102822</x:v>
      </x:c>
      <x:c r="C18" s="44" t="n">
        <x:v>94732</x:v>
      </x:c>
      <x:c r="D18" s="44" t="n">
        <x:v>8090</x:v>
      </x:c>
      <x:c r="E18" s="44" t="n">
        <x:v>21379</x:v>
      </x:c>
      <x:c r="F18" s="44" t="n">
        <x:v>2100</x:v>
      </x:c>
      <x:c r="G18" s="44" t="n">
        <x:v>669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43" t="n">
        <x:v>45851</x:v>
      </x:c>
      <x:c r="B19" s="44" t="n">
        <x:f>IF(COUNT(C19:D19)=2,SUM(C19:D19),"")</x:f>
        <x:v>115856</x:v>
      </x:c>
      <x:c r="C19" s="44" t="n">
        <x:v>106787</x:v>
      </x:c>
      <x:c r="D19" s="44" t="n">
        <x:v>9069</x:v>
      </x:c>
      <x:c r="E19" s="44" t="n">
        <x:v>21379</x:v>
      </x:c>
      <x:c r="F19" s="44" t="n">
        <x:v>2100</x:v>
      </x:c>
      <x:c r="G19" s="44" t="n">
        <x:v>715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43" t="n">
        <x:v>45852</x:v>
      </x:c>
      <x:c r="B20" s="44" t="n">
        <x:f>IF(COUNT(C20:D20)=2,SUM(C20:D20),"")</x:f>
        <x:v>130698</x:v>
      </x:c>
      <x:c r="C20" s="44" t="n">
        <x:v>121918</x:v>
      </x:c>
      <x:c r="D20" s="44" t="n">
        <x:v>8780</x:v>
      </x:c>
      <x:c r="E20" s="44" t="n">
        <x:v>21379</x:v>
      </x:c>
      <x:c r="F20" s="44" t="n">
        <x:v>2100</x:v>
      </x:c>
      <x:c r="G20" s="44" t="n">
        <x:v>722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43" t="n">
        <x:v>45853</x:v>
      </x:c>
      <x:c r="B21" s="44" t="n">
        <x:f>IF(COUNT(C21:D21)=2,SUM(C21:D21),"")</x:f>
        <x:v>132026</x:v>
      </x:c>
      <x:c r="C21" s="44" t="n">
        <x:v>122946</x:v>
      </x:c>
      <x:c r="D21" s="44" t="n">
        <x:v>9080</x:v>
      </x:c>
      <x:c r="E21" s="44" t="n">
        <x:v>21379</x:v>
      </x:c>
      <x:c r="F21" s="44" t="n">
        <x:v>2100</x:v>
      </x:c>
      <x:c r="G21" s="44" t="n">
        <x:v>680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3" t="n">
        <x:v>45854</x:v>
      </x:c>
      <x:c r="B22" s="44" t="n">
        <x:f>IF(COUNT(C22:D22)=2,SUM(C22:D22),"")</x:f>
        <x:v>123460</x:v>
      </x:c>
      <x:c r="C22" s="44" t="n">
        <x:v>115068</x:v>
      </x:c>
      <x:c r="D22" s="44" t="n">
        <x:v>8392</x:v>
      </x:c>
      <x:c r="E22" s="44" t="n">
        <x:v>21379</x:v>
      </x:c>
      <x:c r="F22" s="44" t="n">
        <x:v>2100</x:v>
      </x:c>
      <x:c r="G22" s="44" t="n">
        <x:v>625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3" t="n">
        <x:v>45855</x:v>
      </x:c>
      <x:c r="B23" s="44" t="n">
        <x:f>IF(COUNT(C23:D23)=2,SUM(C23:D23),"")</x:f>
        <x:v>130390</x:v>
      </x:c>
      <x:c r="C23" s="44" t="n">
        <x:v>121445</x:v>
      </x:c>
      <x:c r="D23" s="44" t="n">
        <x:v>8945</x:v>
      </x:c>
      <x:c r="E23" s="44" t="n">
        <x:v>21379</x:v>
      </x:c>
      <x:c r="F23" s="44" t="n">
        <x:v>2100</x:v>
      </x:c>
      <x:c r="G23" s="44" t="n">
        <x:v>647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43" t="n">
        <x:v>45856</x:v>
      </x:c>
      <x:c r="B24" s="44" t="n">
        <x:f>IF(COUNT(C24:D24)=2,SUM(C24:D24),"")</x:f>
        <x:v>125069</x:v>
      </x:c>
      <x:c r="C24" s="44" t="n">
        <x:v>116032</x:v>
      </x:c>
      <x:c r="D24" s="44" t="n">
        <x:v>9037</x:v>
      </x:c>
      <x:c r="E24" s="44" t="n">
        <x:v>21379</x:v>
      </x:c>
      <x:c r="F24" s="44" t="n">
        <x:v>2100</x:v>
      </x:c>
      <x:c r="G24" s="44" t="n">
        <x:v>688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43" t="n">
        <x:v>45857</x:v>
      </x:c>
      <x:c r="B25" s="44" t="n">
        <x:f>IF(COUNT(C25:D25)=2,SUM(C25:D25),"")</x:f>
        <x:v>86583</x:v>
      </x:c>
      <x:c r="C25" s="44" t="n">
        <x:v>79979</x:v>
      </x:c>
      <x:c r="D25" s="44" t="n">
        <x:v>6604</x:v>
      </x:c>
      <x:c r="E25" s="44" t="n">
        <x:v>21379</x:v>
      </x:c>
      <x:c r="F25" s="44" t="n">
        <x:v>2100</x:v>
      </x:c>
      <x:c r="G25" s="44" t="n">
        <x:v>530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43" t="n">
        <x:v>45858</x:v>
      </x:c>
      <x:c r="B26" s="44" t="n">
        <x:f>IF(COUNT(C26:D26)=2,SUM(C26:D26),"")</x:f>
        <x:v>91277</x:v>
      </x:c>
      <x:c r="C26" s="44" t="n">
        <x:v>84283</x:v>
      </x:c>
      <x:c r="D26" s="44" t="n">
        <x:v>6994</x:v>
      </x:c>
      <x:c r="E26" s="44" t="n">
        <x:v>21379</x:v>
      </x:c>
      <x:c r="F26" s="44" t="n">
        <x:v>2100</x:v>
      </x:c>
      <x:c r="G26" s="44" t="n">
        <x:v>678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43" t="n">
        <x:v>45859</x:v>
      </x:c>
      <x:c r="B27" s="44" t="n">
        <x:f>IF(COUNT(C27:D27)=2,SUM(C27:D27),"")</x:f>
        <x:v>73517</x:v>
      </x:c>
      <x:c r="C27" s="44" t="n">
        <x:v>68539</x:v>
      </x:c>
      <x:c r="D27" s="44" t="n">
        <x:v>4978</x:v>
      </x:c>
      <x:c r="E27" s="44" t="n">
        <x:v>21379</x:v>
      </x:c>
      <x:c r="F27" s="44" t="n">
        <x:v>2100</x:v>
      </x:c>
      <x:c r="G27" s="44" t="n">
        <x:v>358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43" t="n">
        <x:v>45860</x:v>
      </x:c>
      <x:c r="B28" s="44" t="n">
        <x:f>IF(COUNT(C28:D28)=2,SUM(C28:D28),"")</x:f>
        <x:v>134739</x:v>
      </x:c>
      <x:c r="C28" s="44" t="n">
        <x:v>125158</x:v>
      </x:c>
      <x:c r="D28" s="44" t="n">
        <x:v>9581</x:v>
      </x:c>
      <x:c r="E28" s="44" t="n">
        <x:v>21379</x:v>
      </x:c>
      <x:c r="F28" s="44" t="n">
        <x:v>2100</x:v>
      </x:c>
      <x:c r="G28" s="44" t="n">
        <x:v>827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43" t="n">
        <x:v>45861</x:v>
      </x:c>
      <x:c r="B29" s="44" t="n">
        <x:f>IF(COUNT(C29:D29)=2,SUM(C29:D29),"")</x:f>
        <x:v>130545</x:v>
      </x:c>
      <x:c r="C29" s="44" t="n">
        <x:v>121289</x:v>
      </x:c>
      <x:c r="D29" s="44" t="n">
        <x:v>9256</x:v>
      </x:c>
      <x:c r="E29" s="44" t="n">
        <x:v>21379</x:v>
      </x:c>
      <x:c r="F29" s="44" t="n">
        <x:v>2100</x:v>
      </x:c>
      <x:c r="G29" s="44" t="n">
        <x:v>783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43" t="n">
        <x:v>45862</x:v>
      </x:c>
      <x:c r="B30" s="44" t="n">
        <x:f>IF(COUNT(C30:D30)=2,SUM(C30:D30),"")</x:f>
        <x:v>101927</x:v>
      </x:c>
      <x:c r="C30" s="44" t="n">
        <x:v>95059</x:v>
      </x:c>
      <x:c r="D30" s="44" t="n">
        <x:v>6868</x:v>
      </x:c>
      <x:c r="E30" s="44" t="n">
        <x:v>21379</x:v>
      </x:c>
      <x:c r="F30" s="44" t="n">
        <x:v>2100</x:v>
      </x:c>
      <x:c r="G30" s="44" t="n">
        <x:v>597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43" t="n">
        <x:v>45863</x:v>
      </x:c>
      <x:c r="B31" s="44" t="n">
        <x:f>IF(COUNT(C31:D31)=2,SUM(C31:D31),"")</x:f>
        <x:v>44322</x:v>
      </x:c>
      <x:c r="C31" s="44" t="n">
        <x:v>41312</x:v>
      </x:c>
      <x:c r="D31" s="44" t="n">
        <x:v>3010</x:v>
      </x:c>
      <x:c r="E31" s="44" t="n">
        <x:v>21379</x:v>
      </x:c>
      <x:c r="F31" s="44" t="n">
        <x:v>2100</x:v>
      </x:c>
      <x:c r="G31" s="44" t="n">
        <x:v>222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43" t="n">
        <x:v>45864</x:v>
      </x:c>
      <x:c r="B32" s="44" t="n">
        <x:f>IF(COUNT(C32:D32)=2,SUM(C32:D32),"")</x:f>
        <x:v>122078</x:v>
      </x:c>
      <x:c r="C32" s="44" t="n">
        <x:v>112842</x:v>
      </x:c>
      <x:c r="D32" s="44" t="n">
        <x:v>9236</x:v>
      </x:c>
      <x:c r="E32" s="44" t="n">
        <x:v>21379</x:v>
      </x:c>
      <x:c r="F32" s="44" t="n">
        <x:v>2100</x:v>
      </x:c>
      <x:c r="G32" s="44" t="n">
        <x:v>780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43" t="n">
        <x:v>45865</x:v>
      </x:c>
      <x:c r="B33" s="44" t="n">
        <x:f>IF(COUNT(C33:D33)=2,SUM(C33:D33),"")</x:f>
        <x:v>99360</x:v>
      </x:c>
      <x:c r="C33" s="44" t="n">
        <x:v>91698</x:v>
      </x:c>
      <x:c r="D33" s="44" t="n">
        <x:v>7662</x:v>
      </x:c>
      <x:c r="E33" s="44" t="n">
        <x:v>21379</x:v>
      </x:c>
      <x:c r="F33" s="44" t="n">
        <x:v>2100</x:v>
      </x:c>
      <x:c r="G33" s="44" t="n">
        <x:v>822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43" t="n">
        <x:v>45866</x:v>
      </x:c>
      <x:c r="B34" s="44" t="n">
        <x:f>IF(COUNT(C34:D34)=2,SUM(C34:D34),"")</x:f>
        <x:v>109371</x:v>
      </x:c>
      <x:c r="C34" s="44" t="n">
        <x:v>102233</x:v>
      </x:c>
      <x:c r="D34" s="44" t="n">
        <x:v>7138</x:v>
      </x:c>
      <x:c r="E34" s="44" t="n">
        <x:v>21379</x:v>
      </x:c>
      <x:c r="F34" s="44" t="n">
        <x:v>2100</x:v>
      </x:c>
      <x:c r="G34" s="44" t="n">
        <x:v>705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43" t="n">
        <x:v>45867</x:v>
      </x:c>
      <x:c r="B35" s="44" t="n">
        <x:f>IF(COUNT(C35:D35)=2,SUM(C35:D35),"")</x:f>
        <x:v>104316</x:v>
      </x:c>
      <x:c r="C35" s="44" t="n">
        <x:v>97378</x:v>
      </x:c>
      <x:c r="D35" s="44" t="n">
        <x:v>6938</x:v>
      </x:c>
      <x:c r="E35" s="44" t="n">
        <x:v>21379</x:v>
      </x:c>
      <x:c r="F35" s="44" t="n">
        <x:v>2100</x:v>
      </x:c>
      <x:c r="G35" s="44" t="n">
        <x:v>715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43" t="n">
        <x:v>45868</x:v>
      </x:c>
      <x:c r="B36" s="44" t="n">
        <x:f>IF(COUNT(C36:D36)=2,SUM(C36:D36),"")</x:f>
        <x:v>133414</x:v>
      </x:c>
      <x:c r="C36" s="44" t="n">
        <x:v>124039</x:v>
      </x:c>
      <x:c r="D36" s="44" t="n">
        <x:v>9375</x:v>
      </x:c>
      <x:c r="E36" s="44" t="n">
        <x:v>21379</x:v>
      </x:c>
      <x:c r="F36" s="44" t="n">
        <x:v>2100</x:v>
      </x:c>
      <x:c r="G36" s="44" t="n">
        <x:v>1023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43" t="n">
        <x:v>45869</x:v>
      </x:c>
      <x:c r="B37" s="44" t="n">
        <x:f>IF(COUNT(C37:D37)=2,SUM(C37:D37),"")</x:f>
        <x:v>133958</x:v>
      </x:c>
      <x:c r="C37" s="44" t="n">
        <x:v>124329</x:v>
      </x:c>
      <x:c r="D37" s="44" t="n">
        <x:v>9629</x:v>
      </x:c>
      <x:c r="E37" s="44" t="n">
        <x:v>21379</x:v>
      </x:c>
      <x:c r="F37" s="44" t="n">
        <x:v>2100</x:v>
      </x:c>
      <x:c r="G37" s="44" t="n">
        <x:v>1209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43" t="n">
        <x:v>45870</x:v>
      </x:c>
      <x:c r="B38" s="44" t="n">
        <x:f>IF(COUNT(C38:D38)=2,SUM(C38:D38),"")</x:f>
        <x:v>104809</x:v>
      </x:c>
      <x:c r="C38" s="44" t="n">
        <x:v>97457</x:v>
      </x:c>
      <x:c r="D38" s="44" t="n">
        <x:v>7352</x:v>
      </x:c>
      <x:c r="E38" s="44" t="n">
        <x:v>21379</x:v>
      </x:c>
      <x:c r="F38" s="44" t="n">
        <x:v>2100</x:v>
      </x:c>
      <x:c r="G38" s="44" t="n">
        <x:v>552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43" t="n">
        <x:v>45871</x:v>
      </x:c>
      <x:c r="B39" s="44" t="n">
        <x:f>IF(COUNT(C39:D39)=2,SUM(C39:D39),"")</x:f>
        <x:v>117970</x:v>
      </x:c>
      <x:c r="C39" s="44" t="n">
        <x:v>108644</x:v>
      </x:c>
      <x:c r="D39" s="44" t="n">
        <x:v>9326</x:v>
      </x:c>
      <x:c r="E39" s="44" t="n">
        <x:v>21379</x:v>
      </x:c>
      <x:c r="F39" s="44" t="n">
        <x:v>2100</x:v>
      </x:c>
      <x:c r="G39" s="44" t="n">
        <x:v>704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43" t="n">
        <x:v>45872</x:v>
      </x:c>
      <x:c r="B40" s="44" t="n">
        <x:f>IF(COUNT(C40:D40)=2,SUM(C40:D40),"")</x:f>
        <x:v>114497</x:v>
      </x:c>
      <x:c r="C40" s="44" t="n">
        <x:v>105569</x:v>
      </x:c>
      <x:c r="D40" s="44" t="n">
        <x:v>8928</x:v>
      </x:c>
      <x:c r="E40" s="44" t="n">
        <x:v>21379</x:v>
      </x:c>
      <x:c r="F40" s="44" t="n">
        <x:v>2100</x:v>
      </x:c>
      <x:c r="G40" s="44" t="n">
        <x:v>759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43" t="n">
        <x:v>45873</x:v>
      </x:c>
      <x:c r="B41" s="44" t="n">
        <x:f>IF(COUNT(C41:D41)=2,SUM(C41:D41),"")</x:f>
        <x:v>121200</x:v>
      </x:c>
      <x:c r="C41" s="44" t="n">
        <x:v>112851</x:v>
      </x:c>
      <x:c r="D41" s="44" t="n">
        <x:v>8349</x:v>
      </x:c>
      <x:c r="E41" s="44" t="n">
        <x:v>21379</x:v>
      </x:c>
      <x:c r="F41" s="44" t="n">
        <x:v>2100</x:v>
      </x:c>
      <x:c r="G41" s="44" t="n">
        <x:v>688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43" t="n">
        <x:v>45874</x:v>
      </x:c>
      <x:c r="B42" s="44" t="n">
        <x:f>IF(COUNT(C42:D42)=2,SUM(C42:D42),"")</x:f>
        <x:v>107573</x:v>
      </x:c>
      <x:c r="C42" s="44" t="n">
        <x:v>100475</x:v>
      </x:c>
      <x:c r="D42" s="44" t="n">
        <x:v>7098</x:v>
      </x:c>
      <x:c r="E42" s="44" t="n">
        <x:v>21379</x:v>
      </x:c>
      <x:c r="F42" s="44" t="n">
        <x:v>2100</x:v>
      </x:c>
      <x:c r="G42" s="44" t="n">
        <x:v>550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43" t="n">
        <x:v>45875</x:v>
      </x:c>
      <x:c r="B43" s="44" t="n">
        <x:f>IF(COUNT(C43:D43)=2,SUM(C43:D43),"")</x:f>
        <x:v>128517</x:v>
      </x:c>
      <x:c r="C43" s="44" t="n">
        <x:v>119534</x:v>
      </x:c>
      <x:c r="D43" s="44" t="n">
        <x:v>8983</x:v>
      </x:c>
      <x:c r="E43" s="44" t="n">
        <x:v>21379</x:v>
      </x:c>
      <x:c r="F43" s="44" t="n">
        <x:v>2100</x:v>
      </x:c>
      <x:c r="G43" s="44" t="n">
        <x:v>708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43" t="n">
        <x:v>45876</x:v>
      </x:c>
      <x:c r="B44" s="44" t="n">
        <x:f>IF(COUNT(C44:D44)=2,SUM(C44:D44),"")</x:f>
        <x:v>136406</x:v>
      </x:c>
      <x:c r="C44" s="44" t="n">
        <x:v>126893</x:v>
      </x:c>
      <x:c r="D44" s="44" t="n">
        <x:v>9513</x:v>
      </x:c>
      <x:c r="E44" s="44" t="n">
        <x:v>21379</x:v>
      </x:c>
      <x:c r="F44" s="44" t="n">
        <x:v>2100</x:v>
      </x:c>
      <x:c r="G44" s="44" t="n">
        <x:v>771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43" t="n">
        <x:v>45877</x:v>
      </x:c>
      <x:c r="B45" s="44" t="n">
        <x:f>IF(COUNT(C45:D45)=2,SUM(C45:D45),"")</x:f>
        <x:v>139661</x:v>
      </x:c>
      <x:c r="C45" s="44" t="n">
        <x:v>129487</x:v>
      </x:c>
      <x:c r="D45" s="44" t="n">
        <x:v>10174</x:v>
      </x:c>
      <x:c r="E45" s="44" t="n">
        <x:v>21379</x:v>
      </x:c>
      <x:c r="F45" s="44" t="n">
        <x:v>2100</x:v>
      </x:c>
      <x:c r="G45" s="44" t="n">
        <x:v>848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43" t="n">
        <x:v>45878</x:v>
      </x:c>
      <x:c r="B46" s="44" t="n">
        <x:f>IF(COUNT(C46:D46)=2,SUM(C46:D46),"")</x:f>
        <x:v>124728</x:v>
      </x:c>
      <x:c r="C46" s="44" t="n">
        <x:v>114636</x:v>
      </x:c>
      <x:c r="D46" s="44" t="n">
        <x:v>10092</x:v>
      </x:c>
      <x:c r="E46" s="44" t="n">
        <x:v>21379</x:v>
      </x:c>
      <x:c r="F46" s="44" t="n">
        <x:v>2100</x:v>
      </x:c>
      <x:c r="G46" s="44" t="n">
        <x:v>852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43" t="n">
        <x:v>45879</x:v>
      </x:c>
      <x:c r="B47" s="44" t="n">
        <x:f>IF(COUNT(C47:D47)=2,SUM(C47:D47),"")</x:f>
        <x:v>108917</x:v>
      </x:c>
      <x:c r="C47" s="44" t="n">
        <x:v>100325</x:v>
      </x:c>
      <x:c r="D47" s="44" t="n">
        <x:v>8592</x:v>
      </x:c>
      <x:c r="E47" s="44" t="n">
        <x:v>21379</x:v>
      </x:c>
      <x:c r="F47" s="44" t="n">
        <x:v>2100</x:v>
      </x:c>
      <x:c r="G47" s="44" t="n">
        <x:v>716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43" t="n">
        <x:v>45880</x:v>
      </x:c>
      <x:c r="B48" s="44" t="n">
        <x:f>IF(COUNT(C48:D48)=2,SUM(C48:D48),"")</x:f>
        <x:v>122250</x:v>
      </x:c>
      <x:c r="C48" s="44" t="n">
        <x:v>113174</x:v>
      </x:c>
      <x:c r="D48" s="44" t="n">
        <x:v>9076</x:v>
      </x:c>
      <x:c r="E48" s="44" t="n">
        <x:v>21379</x:v>
      </x:c>
      <x:c r="F48" s="44" t="n">
        <x:v>2100</x:v>
      </x:c>
      <x:c r="G48" s="44" t="n">
        <x:v>698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43" t="n">
        <x:v>45881</x:v>
      </x:c>
      <x:c r="B49" s="44" t="n">
        <x:f>IF(COUNT(C49:D49)=2,SUM(C49:D49),"")</x:f>
        <x:v>136051</x:v>
      </x:c>
      <x:c r="C49" s="44" t="n">
        <x:v>126237</x:v>
      </x:c>
      <x:c r="D49" s="44" t="n">
        <x:v>9814</x:v>
      </x:c>
      <x:c r="E49" s="44" t="n">
        <x:v>21379</x:v>
      </x:c>
      <x:c r="F49" s="44" t="n">
        <x:v>2100</x:v>
      </x:c>
      <x:c r="G49" s="44" t="n">
        <x:v>802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43" t="n">
        <x:v>45882</x:v>
      </x:c>
      <x:c r="B50" s="44" t="n">
        <x:f>IF(COUNT(C50:D50)=2,SUM(C50:D50),"")</x:f>
        <x:v>102859</x:v>
      </x:c>
      <x:c r="C50" s="44" t="n">
        <x:v>95345</x:v>
      </x:c>
      <x:c r="D50" s="44" t="n">
        <x:v>7514</x:v>
      </x:c>
      <x:c r="E50" s="44" t="n">
        <x:v>21379</x:v>
      </x:c>
      <x:c r="F50" s="44" t="n">
        <x:v>2100</x:v>
      </x:c>
      <x:c r="G50" s="44" t="n">
        <x:v>538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43" t="n">
        <x:v>45883</x:v>
      </x:c>
      <x:c r="B51" s="44" t="n">
        <x:f>IF(COUNT(C51:D51)=2,SUM(C51:D51),"")</x:f>
        <x:v>135145</x:v>
      </x:c>
      <x:c r="C51" s="44" t="n">
        <x:v>125481</x:v>
      </x:c>
      <x:c r="D51" s="44" t="n">
        <x:v>9664</x:v>
      </x:c>
      <x:c r="E51" s="44" t="n">
        <x:v>21379</x:v>
      </x:c>
      <x:c r="F51" s="44" t="n">
        <x:v>2100</x:v>
      </x:c>
      <x:c r="G51" s="44" t="n">
        <x:v>786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43" t="n">
        <x:v>45884</x:v>
      </x:c>
      <x:c r="B52" s="44" t="n">
        <x:f>IF(COUNT(C52:D52)=2,SUM(C52:D52),"")</x:f>
        <x:v>140856</x:v>
      </x:c>
      <x:c r="C52" s="44" t="n">
        <x:v>130112</x:v>
      </x:c>
      <x:c r="D52" s="44" t="n">
        <x:v>10744</x:v>
      </x:c>
      <x:c r="E52" s="44" t="n">
        <x:v>21379</x:v>
      </x:c>
      <x:c r="F52" s="44" t="n">
        <x:v>2100</x:v>
      </x:c>
      <x:c r="G52" s="44" t="n">
        <x:v>856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43" t="n">
        <x:v>45885</x:v>
      </x:c>
      <x:c r="B53" s="44" t="n">
        <x:f>IF(COUNT(C53:D53)=2,SUM(C53:D53),"")</x:f>
        <x:v>127263</x:v>
      </x:c>
      <x:c r="C53" s="44" t="n">
        <x:v>116830</x:v>
      </x:c>
      <x:c r="D53" s="44" t="n">
        <x:v>10433</x:v>
      </x:c>
      <x:c r="E53" s="44" t="n">
        <x:v>21379</x:v>
      </x:c>
      <x:c r="F53" s="44" t="n">
        <x:v>2100</x:v>
      </x:c>
      <x:c r="G53" s="44" t="n">
        <x:v>827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43" t="n">
        <x:v>45886</x:v>
      </x:c>
      <x:c r="B54" s="44" t="n">
        <x:f>IF(COUNT(C54:D54)=2,SUM(C54:D54),"")</x:f>
        <x:v>118412</x:v>
      </x:c>
      <x:c r="C54" s="44" t="n">
        <x:v>108917</x:v>
      </x:c>
      <x:c r="D54" s="44" t="n">
        <x:v>9495</x:v>
      </x:c>
      <x:c r="E54" s="44" t="n">
        <x:v>21379</x:v>
      </x:c>
      <x:c r="F54" s="44" t="n">
        <x:v>2100</x:v>
      </x:c>
      <x:c r="G54" s="44" t="n">
        <x:v>772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43" t="n">
        <x:v>45887</x:v>
      </x:c>
      <x:c r="B55" s="44" t="n">
        <x:f>IF(COUNT(C55:D55)=2,SUM(C55:D55),"")</x:f>
        <x:v>126470</x:v>
      </x:c>
      <x:c r="C55" s="44" t="n">
        <x:v>117549</x:v>
      </x:c>
      <x:c r="D55" s="44" t="n">
        <x:v>8921</x:v>
      </x:c>
      <x:c r="E55" s="44" t="n">
        <x:v>21379</x:v>
      </x:c>
      <x:c r="F55" s="44" t="n">
        <x:v>2100</x:v>
      </x:c>
      <x:c r="G55" s="44" t="n">
        <x:v>688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43" t="n">
        <x:v>45888</x:v>
      </x:c>
      <x:c r="B56" s="44" t="n">
        <x:f>IF(COUNT(C56:D56)=2,SUM(C56:D56),"")</x:f>
        <x:v>136652</x:v>
      </x:c>
      <x:c r="C56" s="44" t="n">
        <x:v>127199</x:v>
      </x:c>
      <x:c r="D56" s="44" t="n">
        <x:v>9453</x:v>
      </x:c>
      <x:c r="E56" s="44" t="n">
        <x:v>21379</x:v>
      </x:c>
      <x:c r="F56" s="44" t="n">
        <x:v>2100</x:v>
      </x:c>
      <x:c r="G56" s="44" t="n">
        <x:v>717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43" t="n">
        <x:v>45889</x:v>
      </x:c>
      <x:c r="B57" s="44" t="n">
        <x:f>IF(COUNT(C57:D57)=2,SUM(C57:D57),"")</x:f>
        <x:v>124315</x:v>
      </x:c>
      <x:c r="C57" s="44" t="n">
        <x:v>115690</x:v>
      </x:c>
      <x:c r="D57" s="44" t="n">
        <x:v>8625</x:v>
      </x:c>
      <x:c r="E57" s="44" t="n">
        <x:v>21379</x:v>
      </x:c>
      <x:c r="F57" s="44" t="n">
        <x:v>2100</x:v>
      </x:c>
      <x:c r="G57" s="44" t="n">
        <x:v>683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43" t="n">
        <x:v>45890</x:v>
      </x:c>
      <x:c r="B58" s="44" t="n">
        <x:f>IF(COUNT(C58:D58)=2,SUM(C58:D58),"")</x:f>
        <x:v>132816</x:v>
      </x:c>
      <x:c r="C58" s="44" t="n">
        <x:v>123427</x:v>
      </x:c>
      <x:c r="D58" s="44" t="n">
        <x:v>9389</x:v>
      </x:c>
      <x:c r="E58" s="44" t="n">
        <x:v>21379</x:v>
      </x:c>
      <x:c r="F58" s="44" t="n">
        <x:v>2100</x:v>
      </x:c>
      <x:c r="G58" s="44" t="n">
        <x:v>738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43" t="n">
        <x:v>45891</x:v>
      </x:c>
      <x:c r="B59" s="44" t="n">
        <x:f>IF(COUNT(C59:D59)=2,SUM(C59:D59),"")</x:f>
        <x:v>141390</x:v>
      </x:c>
      <x:c r="C59" s="44" t="n">
        <x:v>131226</x:v>
      </x:c>
      <x:c r="D59" s="44" t="n">
        <x:v>10164</x:v>
      </x:c>
      <x:c r="E59" s="44" t="n">
        <x:v>21379</x:v>
      </x:c>
      <x:c r="F59" s="44" t="n">
        <x:v>2100</x:v>
      </x:c>
      <x:c r="G59" s="44" t="n">
        <x:v>775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43" t="n">
        <x:v>45892</x:v>
      </x:c>
      <x:c r="B60" s="44" t="n">
        <x:f>IF(COUNT(C60:D60)=2,SUM(C60:D60),"")</x:f>
        <x:v>131489</x:v>
      </x:c>
      <x:c r="C60" s="44" t="n">
        <x:v>121085</x:v>
      </x:c>
      <x:c r="D60" s="44" t="n">
        <x:v>10404</x:v>
      </x:c>
      <x:c r="E60" s="44" t="n">
        <x:v>21379</x:v>
      </x:c>
      <x:c r="F60" s="44" t="n">
        <x:v>2100</x:v>
      </x:c>
      <x:c r="G60" s="44" t="n">
        <x:v>834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43" t="n">
        <x:v>45893</x:v>
      </x:c>
      <x:c r="B61" s="44" t="n">
        <x:f>IF(COUNT(C61:D61)=2,SUM(C61:D61),"")</x:f>
        <x:v>117845</x:v>
      </x:c>
      <x:c r="C61" s="44" t="n">
        <x:v>108238</x:v>
      </x:c>
      <x:c r="D61" s="44" t="n">
        <x:v>9607</x:v>
      </x:c>
      <x:c r="E61" s="44" t="n">
        <x:v>21379</x:v>
      </x:c>
      <x:c r="F61" s="44" t="n">
        <x:v>2100</x:v>
      </x:c>
      <x:c r="G61" s="44" t="n">
        <x:v>756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43" t="n">
        <x:v>45894</x:v>
      </x:c>
      <x:c r="B62" s="44" t="n">
        <x:f>IF(COUNT(C62:D62)=2,SUM(C62:D62),"")</x:f>
        <x:v>130314</x:v>
      </x:c>
      <x:c r="C62" s="44" t="n">
        <x:v>121274</x:v>
      </x:c>
      <x:c r="D62" s="44" t="n">
        <x:v>9040</x:v>
      </x:c>
      <x:c r="E62" s="44" t="n">
        <x:v>21379</x:v>
      </x:c>
      <x:c r="F62" s="44" t="n">
        <x:v>2100</x:v>
      </x:c>
      <x:c r="G62" s="44" t="n">
        <x:v>769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43" t="n">
        <x:v>45895</x:v>
      </x:c>
      <x:c r="B63" s="44" t="n">
        <x:f>IF(COUNT(C63:D63)=2,SUM(C63:D63),"")</x:f>
        <x:v>135849</x:v>
      </x:c>
      <x:c r="C63" s="44" t="n">
        <x:v>126417</x:v>
      </x:c>
      <x:c r="D63" s="44" t="n">
        <x:v>9432</x:v>
      </x:c>
      <x:c r="E63" s="44" t="n">
        <x:v>21379</x:v>
      </x:c>
      <x:c r="F63" s="44" t="n">
        <x:v>2100</x:v>
      </x:c>
      <x:c r="G63" s="44" t="n">
        <x:v>848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43" t="n">
        <x:v>45896</x:v>
      </x:c>
      <x:c r="B64" s="44" t="n">
        <x:f>IF(COUNT(C64:D64)=2,SUM(C64:D64),"")</x:f>
        <x:v>138853</x:v>
      </x:c>
      <x:c r="C64" s="44" t="n">
        <x:v>129237</x:v>
      </x:c>
      <x:c r="D64" s="44" t="n">
        <x:v>9616</x:v>
      </x:c>
      <x:c r="E64" s="44" t="n">
        <x:v>21379</x:v>
      </x:c>
      <x:c r="F64" s="44" t="n">
        <x:v>2100</x:v>
      </x:c>
      <x:c r="G64" s="44" t="n">
        <x:v>907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43" t="n">
        <x:v>45897</x:v>
      </x:c>
      <x:c r="B65" s="44" t="n">
        <x:f>IF(COUNT(C65:D65)=2,SUM(C65:D65),"")</x:f>
        <x:v>137478</x:v>
      </x:c>
      <x:c r="C65" s="44" t="n">
        <x:v>127585</x:v>
      </x:c>
      <x:c r="D65" s="44" t="n">
        <x:v>9893</x:v>
      </x:c>
      <x:c r="E65" s="44" t="n">
        <x:v>21379</x:v>
      </x:c>
      <x:c r="F65" s="44" t="n">
        <x:v>2100</x:v>
      </x:c>
      <x:c r="G65" s="44" t="n">
        <x:v>927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43" t="n">
        <x:v>45898</x:v>
      </x:c>
      <x:c r="B66" s="44" t="n">
        <x:f>IF(COUNT(C66:D66)=2,SUM(C66:D66),"")</x:f>
        <x:v>143596</x:v>
      </x:c>
      <x:c r="C66" s="44" t="n">
        <x:v>132928</x:v>
      </x:c>
      <x:c r="D66" s="44" t="n">
        <x:v>10668</x:v>
      </x:c>
      <x:c r="E66" s="44" t="n">
        <x:v>21379</x:v>
      </x:c>
      <x:c r="F66" s="44" t="n">
        <x:v>2100</x:v>
      </x:c>
      <x:c r="G66" s="44" t="n">
        <x:v>944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43" t="n">
        <x:v>45899</x:v>
      </x:c>
      <x:c r="B67" s="44" t="n">
        <x:f>IF(COUNT(C67:D67)=2,SUM(C67:D67),"")</x:f>
        <x:v>132221</x:v>
      </x:c>
      <x:c r="C67" s="44" t="n">
        <x:v>121404</x:v>
      </x:c>
      <x:c r="D67" s="44" t="n">
        <x:v>10817</x:v>
      </x:c>
      <x:c r="E67" s="44" t="n">
        <x:v>21379</x:v>
      </x:c>
      <x:c r="F67" s="44" t="n">
        <x:v>2100</x:v>
      </x:c>
      <x:c r="G67" s="44" t="n">
        <x:v>1014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43" t="n">
        <x:v>45900</x:v>
      </x:c>
      <x:c r="B68" s="44" t="n">
        <x:f>IF(COUNT(C68:D68)=2,SUM(C68:D68),"")</x:f>
        <x:v>117868</x:v>
      </x:c>
      <x:c r="C68" s="44" t="n">
        <x:v>108815</x:v>
      </x:c>
      <x:c r="D68" s="44" t="n">
        <x:v>9053</x:v>
      </x:c>
      <x:c r="E68" s="44" t="n">
        <x:v>21379</x:v>
      </x:c>
      <x:c r="F68" s="44" t="n">
        <x:v>2100</x:v>
      </x:c>
      <x:c r="G68" s="44" t="n">
        <x:v>1147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43" t="n">
        <x:v>45901</x:v>
      </x:c>
      <x:c r="B69" s="44" t="n">
        <x:f>IF(COUNT(C69:D69)=2,SUM(C69:D69),"")</x:f>
        <x:v>122204</x:v>
      </x:c>
      <x:c r="C69" s="44" t="n">
        <x:v>113641</x:v>
      </x:c>
      <x:c r="D69" s="44" t="n">
        <x:v>8563</x:v>
      </x:c>
      <x:c r="E69" s="44" t="n">
        <x:v>21379</x:v>
      </x:c>
      <x:c r="F69" s="44" t="n">
        <x:v>2100</x:v>
      </x:c>
      <x:c r="G69" s="44" t="n">
        <x:v>705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43" t="n">
        <x:v>45902</x:v>
      </x:c>
      <x:c r="B70" s="44" t="n">
        <x:f>IF(COUNT(C70:D70)=2,SUM(C70:D70),"")</x:f>
        <x:v>115601</x:v>
      </x:c>
      <x:c r="C70" s="44" t="n">
        <x:v>107553</x:v>
      </x:c>
      <x:c r="D70" s="44" t="n">
        <x:v>8048</x:v>
      </x:c>
      <x:c r="E70" s="44" t="n">
        <x:v>21379</x:v>
      </x:c>
      <x:c r="F70" s="44" t="n">
        <x:v>2100</x:v>
      </x:c>
      <x:c r="G70" s="44" t="n">
        <x:v>701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43" t="n">
        <x:v>45903</x:v>
      </x:c>
      <x:c r="B71" s="44" t="n">
        <x:f>IF(COUNT(C71:D71)=2,SUM(C71:D71),"")</x:f>
        <x:v>138109</x:v>
      </x:c>
      <x:c r="C71" s="44" t="n">
        <x:v>128166</x:v>
      </x:c>
      <x:c r="D71" s="44" t="n">
        <x:v>9943</x:v>
      </x:c>
      <x:c r="E71" s="44" t="n">
        <x:v>21379</x:v>
      </x:c>
      <x:c r="F71" s="44" t="n">
        <x:v>2100</x:v>
      </x:c>
      <x:c r="G71" s="44" t="n">
        <x:v>848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43" t="n">
        <x:v>45904</x:v>
      </x:c>
      <x:c r="B72" s="44" t="n">
        <x:f>IF(COUNT(C72:D72)=2,SUM(C72:D72),"")</x:f>
        <x:v>133053</x:v>
      </x:c>
      <x:c r="C72" s="44" t="n">
        <x:v>123582</x:v>
      </x:c>
      <x:c r="D72" s="44" t="n">
        <x:v>9471</x:v>
      </x:c>
      <x:c r="E72" s="44" t="n">
        <x:v>21379</x:v>
      </x:c>
      <x:c r="F72" s="44" t="n">
        <x:v>2100</x:v>
      </x:c>
      <x:c r="G72" s="44" t="n">
        <x:v>758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43" t="n">
        <x:v>45905</x:v>
      </x:c>
      <x:c r="B73" s="44" t="n">
        <x:f>IF(COUNT(C73:D73)=2,SUM(C73:D73),"")</x:f>
        <x:v>146735</x:v>
      </x:c>
      <x:c r="C73" s="44" t="n">
        <x:v>135399</x:v>
      </x:c>
      <x:c r="D73" s="44" t="n">
        <x:v>11336</x:v>
      </x:c>
      <x:c r="E73" s="44" t="n">
        <x:v>21379</x:v>
      </x:c>
      <x:c r="F73" s="44" t="n">
        <x:v>2100</x:v>
      </x:c>
      <x:c r="G73" s="44" t="n">
        <x:v>864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43" t="n">
        <x:v>45906</x:v>
      </x:c>
      <x:c r="B74" s="44" t="n">
        <x:f>IF(COUNT(C74:D74)=2,SUM(C74:D74),"")</x:f>
        <x:v>133729</x:v>
      </x:c>
      <x:c r="C74" s="44" t="n">
        <x:v>123241</x:v>
      </x:c>
      <x:c r="D74" s="44" t="n">
        <x:v>10488</x:v>
      </x:c>
      <x:c r="E74" s="44" t="n">
        <x:v>21379</x:v>
      </x:c>
      <x:c r="F74" s="44" t="n">
        <x:v>2100</x:v>
      </x:c>
      <x:c r="G74" s="44" t="n">
        <x:v>772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43" t="n">
        <x:v>45907</x:v>
      </x:c>
      <x:c r="B75" s="44" t="n">
        <x:f>IF(COUNT(C75:D75)=2,SUM(C75:D75),"")</x:f>
        <x:v>95038</x:v>
      </x:c>
      <x:c r="C75" s="44" t="n">
        <x:v>87640</x:v>
      </x:c>
      <x:c r="D75" s="44" t="n">
        <x:v>7398</x:v>
      </x:c>
      <x:c r="E75" s="44" t="n">
        <x:v>21379</x:v>
      </x:c>
      <x:c r="F75" s="44" t="n">
        <x:v>2100</x:v>
      </x:c>
      <x:c r="G75" s="44" t="n">
        <x:v>692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43" t="n">
        <x:v>45908</x:v>
      </x:c>
      <x:c r="B76" s="44" t="n">
        <x:f>IF(COUNT(C76:D76)=2,SUM(C76:D76),"")</x:f>
        <x:v>136967</x:v>
      </x:c>
      <x:c r="C76" s="44" t="n">
        <x:v>127558</x:v>
      </x:c>
      <x:c r="D76" s="44" t="n">
        <x:v>9409</x:v>
      </x:c>
      <x:c r="E76" s="44" t="n">
        <x:v>21379</x:v>
      </x:c>
      <x:c r="F76" s="44" t="n">
        <x:v>2100</x:v>
      </x:c>
      <x:c r="G76" s="44" t="n">
        <x:v>734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43" t="n">
        <x:v>45909</x:v>
      </x:c>
      <x:c r="B77" s="44" t="n">
        <x:f>IF(COUNT(C77:D77)=2,SUM(C77:D77),"")</x:f>
        <x:v>136506</x:v>
      </x:c>
      <x:c r="C77" s="44" t="n">
        <x:v>127485</x:v>
      </x:c>
      <x:c r="D77" s="44" t="n">
        <x:v>9021</x:v>
      </x:c>
      <x:c r="E77" s="44" t="n">
        <x:v>21379</x:v>
      </x:c>
      <x:c r="F77" s="44" t="n">
        <x:v>2100</x:v>
      </x:c>
      <x:c r="G77" s="44" t="n">
        <x:v>722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43" t="n">
        <x:v>45910</x:v>
      </x:c>
      <x:c r="B78" s="44" t="n">
        <x:f>IF(COUNT(C78:D78)=2,SUM(C78:D78),"")</x:f>
        <x:v>138104</x:v>
      </x:c>
      <x:c r="C78" s="44" t="n">
        <x:v>129145</x:v>
      </x:c>
      <x:c r="D78" s="44" t="n">
        <x:v>8959</x:v>
      </x:c>
      <x:c r="E78" s="44" t="n">
        <x:v>21379</x:v>
      </x:c>
      <x:c r="F78" s="44" t="n">
        <x:v>2100</x:v>
      </x:c>
      <x:c r="G78" s="44" t="n">
        <x:v>737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43" t="n">
        <x:v>45911</x:v>
      </x:c>
      <x:c r="B79" s="44" t="n">
        <x:f>IF(COUNT(C79:D79)=2,SUM(C79:D79),"")</x:f>
        <x:v>142324</x:v>
      </x:c>
      <x:c r="C79" s="44" t="n">
        <x:v>132817</x:v>
      </x:c>
      <x:c r="D79" s="44" t="n">
        <x:v>9507</x:v>
      </x:c>
      <x:c r="E79" s="44" t="n">
        <x:v>21379</x:v>
      </x:c>
      <x:c r="F79" s="44" t="n">
        <x:v>2100</x:v>
      </x:c>
      <x:c r="G79" s="44" t="n">
        <x:v>824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43" t="n">
        <x:v>45912</x:v>
      </x:c>
      <x:c r="B80" s="44" t="n">
        <x:f>IF(COUNT(C80:D80)=2,SUM(C80:D80),"")</x:f>
        <x:v>148561</x:v>
      </x:c>
      <x:c r="C80" s="44" t="n">
        <x:v>138566</x:v>
      </x:c>
      <x:c r="D80" s="44" t="n">
        <x:v>9995</x:v>
      </x:c>
      <x:c r="E80" s="44" t="n">
        <x:v>21379</x:v>
      </x:c>
      <x:c r="F80" s="44" t="n">
        <x:v>2100</x:v>
      </x:c>
      <x:c r="G80" s="44" t="n">
        <x:v>754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43" t="n">
        <x:v>45913</x:v>
      </x:c>
      <x:c r="B81" s="44" t="n">
        <x:f>IF(COUNT(C81:D81)=2,SUM(C81:D81),"")</x:f>
        <x:v>143301</x:v>
      </x:c>
      <x:c r="C81" s="44" t="n">
        <x:v>133213</x:v>
      </x:c>
      <x:c r="D81" s="44" t="n">
        <x:v>10088</x:v>
      </x:c>
      <x:c r="E81" s="44" t="n">
        <x:v>21379</x:v>
      </x:c>
      <x:c r="F81" s="44" t="n">
        <x:v>2100</x:v>
      </x:c>
      <x:c r="G81" s="44" t="n">
        <x:v>798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43" t="n">
        <x:v>45914</x:v>
      </x:c>
      <x:c r="B82" s="44" t="n">
        <x:f>IF(COUNT(C82:D82)=2,SUM(C82:D82),"")</x:f>
        <x:v>128916</x:v>
      </x:c>
      <x:c r="C82" s="44" t="n">
        <x:v>119852</x:v>
      </x:c>
      <x:c r="D82" s="44" t="n">
        <x:v>9064</x:v>
      </x:c>
      <x:c r="E82" s="44" t="n">
        <x:v>21379</x:v>
      </x:c>
      <x:c r="F82" s="44" t="n">
        <x:v>2100</x:v>
      </x:c>
      <x:c r="G82" s="44" t="n">
        <x:v>721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43" t="n">
        <x:v>45915</x:v>
      </x:c>
      <x:c r="B83" s="44" t="n">
        <x:f>IF(COUNT(C83:D83)=2,SUM(C83:D83),"")</x:f>
        <x:v>137071</x:v>
      </x:c>
      <x:c r="C83" s="44" t="n">
        <x:v>127886</x:v>
      </x:c>
      <x:c r="D83" s="44" t="n">
        <x:v>9185</x:v>
      </x:c>
      <x:c r="E83" s="44" t="n">
        <x:v>21379</x:v>
      </x:c>
      <x:c r="F83" s="44" t="n">
        <x:v>2100</x:v>
      </x:c>
      <x:c r="G83" s="44" t="n">
        <x:v>712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43" t="n">
        <x:v>45916</x:v>
      </x:c>
      <x:c r="B84" s="44" t="n">
        <x:f>IF(COUNT(C84:D84)=2,SUM(C84:D84),"")</x:f>
        <x:v>142041</x:v>
      </x:c>
      <x:c r="C84" s="44" t="n">
        <x:v>132880</x:v>
      </x:c>
      <x:c r="D84" s="44" t="n">
        <x:v>9161</x:v>
      </x:c>
      <x:c r="E84" s="44" t="n">
        <x:v>21379</x:v>
      </x:c>
      <x:c r="F84" s="44" t="n">
        <x:v>2100</x:v>
      </x:c>
      <x:c r="G84" s="44" t="n">
        <x:v>770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43" t="n">
        <x:v>45917</x:v>
      </x:c>
      <x:c r="B85" s="44" t="n">
        <x:f>IF(COUNT(C85:D85)=2,SUM(C85:D85),"")</x:f>
        <x:v>141898</x:v>
      </x:c>
      <x:c r="C85" s="44" t="n">
        <x:v>132366</x:v>
      </x:c>
      <x:c r="D85" s="44" t="n">
        <x:v>9532</x:v>
      </x:c>
      <x:c r="E85" s="44" t="n">
        <x:v>21379</x:v>
      </x:c>
      <x:c r="F85" s="44" t="n">
        <x:v>2100</x:v>
      </x:c>
      <x:c r="G85" s="44" t="n">
        <x:v>780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43" t="n">
        <x:v>45918</x:v>
      </x:c>
      <x:c r="B86" s="44" t="n">
        <x:f>IF(COUNT(C86:D86)=2,SUM(C86:D86),"")</x:f>
        <x:v>140144</x:v>
      </x:c>
      <x:c r="C86" s="44" t="n">
        <x:v>130698</x:v>
      </x:c>
      <x:c r="D86" s="44" t="n">
        <x:v>9446</x:v>
      </x:c>
      <x:c r="E86" s="44" t="n">
        <x:v>21379</x:v>
      </x:c>
      <x:c r="F86" s="44" t="n">
        <x:v>2100</x:v>
      </x:c>
      <x:c r="G86" s="44" t="n">
        <x:v>723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43" t="n">
        <x:v>45919</x:v>
      </x:c>
      <x:c r="B87" s="44" t="n">
        <x:f>IF(COUNT(C87:D87)=2,SUM(C87:D87),"")</x:f>
        <x:v>142778</x:v>
      </x:c>
      <x:c r="C87" s="44" t="n">
        <x:v>132899</x:v>
      </x:c>
      <x:c r="D87" s="44" t="n">
        <x:v>9879</x:v>
      </x:c>
      <x:c r="E87" s="44" t="n">
        <x:v>21379</x:v>
      </x:c>
      <x:c r="F87" s="44" t="n">
        <x:v>2100</x:v>
      </x:c>
      <x:c r="G87" s="44" t="n">
        <x:v>794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43" t="n">
        <x:v>45920</x:v>
      </x:c>
      <x:c r="B88" s="44" t="n">
        <x:f>IF(COUNT(C88:D88)=2,SUM(C88:D88),"")</x:f>
        <x:v>143866</x:v>
      </x:c>
      <x:c r="C88" s="44" t="n">
        <x:v>133600</x:v>
      </x:c>
      <x:c r="D88" s="44" t="n">
        <x:v>10266</x:v>
      </x:c>
      <x:c r="E88" s="44" t="n">
        <x:v>21379</x:v>
      </x:c>
      <x:c r="F88" s="44" t="n">
        <x:v>2100</x:v>
      </x:c>
      <x:c r="G88" s="44" t="n">
        <x:v>851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43" t="n">
        <x:v>45921</x:v>
      </x:c>
      <x:c r="B89" s="44" t="n">
        <x:f>IF(COUNT(C89:D89)=2,SUM(C89:D89),"")</x:f>
        <x:v>115904</x:v>
      </x:c>
      <x:c r="C89" s="44" t="n">
        <x:v>108028</x:v>
      </x:c>
      <x:c r="D89" s="44" t="n">
        <x:v>7876</x:v>
      </x:c>
      <x:c r="E89" s="44" t="n">
        <x:v>21379</x:v>
      </x:c>
      <x:c r="F89" s="44" t="n">
        <x:v>2100</x:v>
      </x:c>
      <x:c r="G89" s="44" t="n">
        <x:v>777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43" t="n">
        <x:v>45922</x:v>
      </x:c>
      <x:c r="B90" s="44" t="n">
        <x:f>IF(COUNT(C90:D90)=2,SUM(C90:D90),"")</x:f>
        <x:v>99490</x:v>
      </x:c>
      <x:c r="C90" s="44" t="n">
        <x:v>93579</x:v>
      </x:c>
      <x:c r="D90" s="44" t="n">
        <x:v>5911</x:v>
      </x:c>
      <x:c r="E90" s="44" t="n">
        <x:v>21379</x:v>
      </x:c>
      <x:c r="F90" s="44" t="n">
        <x:v>2100</x:v>
      </x:c>
      <x:c r="G90" s="44" t="n">
        <x:v>543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43" t="n">
        <x:v>45923</x:v>
      </x:c>
      <x:c r="B91" s="44" t="n">
        <x:f>IF(COUNT(C91:D91)=2,SUM(C91:D91),"")</x:f>
        <x:v>70191</x:v>
      </x:c>
      <x:c r="C91" s="44" t="n">
        <x:v>65848</x:v>
      </x:c>
      <x:c r="D91" s="44" t="n">
        <x:v>4343</x:v>
      </x:c>
      <x:c r="E91" s="44" t="n">
        <x:v>21379</x:v>
      </x:c>
      <x:c r="F91" s="44" t="n">
        <x:v>2100</x:v>
      </x:c>
      <x:c r="G91" s="44" t="n">
        <x:v>344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43" t="n">
        <x:v>45924</x:v>
      </x:c>
      <x:c r="B92" s="44" t="n">
        <x:f>IF(COUNT(C92:D92)=2,SUM(C92:D92),"")</x:f>
        <x:v>139621</x:v>
      </x:c>
      <x:c r="C92" s="44" t="n">
        <x:v>130301</x:v>
      </x:c>
      <x:c r="D92" s="44" t="n">
        <x:v>9320</x:v>
      </x:c>
      <x:c r="E92" s="44" t="n">
        <x:v>21379</x:v>
      </x:c>
      <x:c r="F92" s="44" t="n">
        <x:v>2100</x:v>
      </x:c>
      <x:c r="G92" s="44" t="n">
        <x:v>894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43" t="n">
        <x:v>45925</x:v>
      </x:c>
      <x:c r="B93" s="44" t="n">
        <x:f>IF(COUNT(C93:D93)=2,SUM(C93:D93),"")</x:f>
        <x:v>139561</x:v>
      </x:c>
      <x:c r="C93" s="44" t="n">
        <x:v>130045</x:v>
      </x:c>
      <x:c r="D93" s="44" t="n">
        <x:v>9516</x:v>
      </x:c>
      <x:c r="E93" s="44" t="n">
        <x:v>21379</x:v>
      </x:c>
      <x:c r="F93" s="44" t="n">
        <x:v>2100</x:v>
      </x:c>
      <x:c r="G93" s="44" t="n">
        <x:v>847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43" t="n">
        <x:v>45926</x:v>
      </x:c>
      <x:c r="B94" s="44" t="n">
        <x:f>IF(COUNT(C94:D94)=2,SUM(C94:D94),"")</x:f>
        <x:v>146187</x:v>
      </x:c>
      <x:c r="C94" s="44" t="n">
        <x:v>135815</x:v>
      </x:c>
      <x:c r="D94" s="44" t="n">
        <x:v>10372</x:v>
      </x:c>
      <x:c r="E94" s="44" t="n">
        <x:v>21379</x:v>
      </x:c>
      <x:c r="F94" s="44" t="n">
        <x:v>2100</x:v>
      </x:c>
      <x:c r="G94" s="44" t="n">
        <x:v>927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43" t="n">
        <x:v>45927</x:v>
      </x:c>
      <x:c r="B95" s="44" t="n">
        <x:f>IF(COUNT(C95:D95)=2,SUM(C95:D95),"")</x:f>
        <x:v>134446</x:v>
      </x:c>
      <x:c r="C95" s="44" t="n">
        <x:v>124312</x:v>
      </x:c>
      <x:c r="D95" s="44" t="n">
        <x:v>10134</x:v>
      </x:c>
      <x:c r="E95" s="44" t="n">
        <x:v>21379</x:v>
      </x:c>
      <x:c r="F95" s="44" t="n">
        <x:v>2100</x:v>
      </x:c>
      <x:c r="G95" s="44" t="n">
        <x:v>974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43" t="n">
        <x:v>45928</x:v>
      </x:c>
      <x:c r="B96" s="44" t="n">
        <x:f>IF(COUNT(C96:D96)=2,SUM(C96:D96),"")</x:f>
        <x:v>126495</x:v>
      </x:c>
      <x:c r="C96" s="44" t="n">
        <x:v>116937</x:v>
      </x:c>
      <x:c r="D96" s="44" t="n">
        <x:v>9558</x:v>
      </x:c>
      <x:c r="E96" s="44" t="n">
        <x:v>21379</x:v>
      </x:c>
      <x:c r="F96" s="44" t="n">
        <x:v>2100</x:v>
      </x:c>
      <x:c r="G96" s="44" t="n">
        <x:v>963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43" t="n">
        <x:v>45929</x:v>
      </x:c>
      <x:c r="B97" s="44" t="n">
        <x:f>IF(COUNT(C97:D97)=2,SUM(C97:D97),"")</x:f>
        <x:v>123509</x:v>
      </x:c>
      <x:c r="C97" s="44" t="n">
        <x:v>114731</x:v>
      </x:c>
      <x:c r="D97" s="44" t="n">
        <x:v>8778</x:v>
      </x:c>
      <x:c r="E97" s="44" t="n">
        <x:v>21379</x:v>
      </x:c>
      <x:c r="F97" s="44" t="n">
        <x:v>2100</x:v>
      </x:c>
      <x:c r="G97" s="44" t="n">
        <x:v>1022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43" t="n">
        <x:v>45930</x:v>
      </x:c>
      <x:c r="B98" s="44" t="n">
        <x:f>IF(COUNT(C98:D98)=2,SUM(C98:D98),"")</x:f>
        <x:v>138706</x:v>
      </x:c>
      <x:c r="C98" s="44" t="n">
        <x:v>129237</x:v>
      </x:c>
      <x:c r="D98" s="44" t="n">
        <x:v>9469</x:v>
      </x:c>
      <x:c r="E98" s="44" t="n">
        <x:v>21379</x:v>
      </x:c>
      <x:c r="F98" s="44" t="n">
        <x:v>2100</x:v>
      </x:c>
      <x:c r="G98" s="44" t="n">
        <x:v>1236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43" t="n">
        <x:v>45931</x:v>
      </x:c>
      <x:c r="B99" s="44" t="n">
        <x:f>IF(COUNT(C99:D99)=2,SUM(C99:D99),"")</x:f>
        <x:v>129378</x:v>
      </x:c>
      <x:c r="C99" s="44" t="n">
        <x:v>120950</x:v>
      </x:c>
      <x:c r="D99" s="44" t="n">
        <x:v>8428</x:v>
      </x:c>
      <x:c r="E99" s="44" t="n">
        <x:v>21379</x:v>
      </x:c>
      <x:c r="F99" s="44" t="n">
        <x:v>2100</x:v>
      </x:c>
      <x:c r="G99" s="44" t="n">
        <x:v>754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43" t="n">
        <x:v>45932</x:v>
      </x:c>
      <x:c r="B100" s="44" t="n">
        <x:f>IF(COUNT(C100:D100)=2,SUM(C100:D100),"")</x:f>
        <x:v>140478</x:v>
      </x:c>
      <x:c r="C100" s="44" t="n">
        <x:v>130968</x:v>
      </x:c>
      <x:c r="D100" s="44" t="n">
        <x:v>9510</x:v>
      </x:c>
      <x:c r="E100" s="44" t="n">
        <x:v>21379</x:v>
      </x:c>
      <x:c r="F100" s="44" t="n">
        <x:v>2100</x:v>
      </x:c>
      <x:c r="G100" s="44" t="n">
        <x:v>791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43" t="n">
        <x:v>45933</x:v>
      </x:c>
      <x:c r="B101" s="44" t="n">
        <x:f>IF(COUNT(C101:D101)=2,SUM(C101:D101),"")</x:f>
        <x:v>149684</x:v>
      </x:c>
      <x:c r="C101" s="44" t="n">
        <x:v>139010</x:v>
      </x:c>
      <x:c r="D101" s="44" t="n">
        <x:v>10674</x:v>
      </x:c>
      <x:c r="E101" s="44" t="n">
        <x:v>21379</x:v>
      </x:c>
      <x:c r="F101" s="44" t="n">
        <x:v>2100</x:v>
      </x:c>
      <x:c r="G101" s="44" t="n">
        <x:v>830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43" t="n">
        <x:v>45934</x:v>
      </x:c>
      <x:c r="B102" s="44" t="n">
        <x:f>IF(COUNT(C102:D102)=2,SUM(C102:D102),"")</x:f>
        <x:v>129755</x:v>
      </x:c>
      <x:c r="C102" s="44" t="n">
        <x:v>120136</x:v>
      </x:c>
      <x:c r="D102" s="44" t="n">
        <x:v>9619</x:v>
      </x:c>
      <x:c r="E102" s="44" t="n">
        <x:v>21379</x:v>
      </x:c>
      <x:c r="F102" s="44" t="n">
        <x:v>2100</x:v>
      </x:c>
      <x:c r="G102" s="44" t="n">
        <x:v>830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43" t="n">
        <x:v>45935</x:v>
      </x:c>
      <x:c r="B103" s="44" t="n">
        <x:f>IF(COUNT(C103:D103)=2,SUM(C103:D103),"")</x:f>
        <x:v>119783</x:v>
      </x:c>
      <x:c r="C103" s="44" t="n">
        <x:v>110094</x:v>
      </x:c>
      <x:c r="D103" s="44" t="n">
        <x:v>9689</x:v>
      </x:c>
      <x:c r="E103" s="44" t="n">
        <x:v>21379</x:v>
      </x:c>
      <x:c r="F103" s="44" t="n">
        <x:v>2100</x:v>
      </x:c>
      <x:c r="G103" s="44" t="n">
        <x:v>889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43" t="n">
        <x:v>45936</x:v>
      </x:c>
      <x:c r="B104" s="44" t="n">
        <x:f>IF(COUNT(C104:D104)=2,SUM(C104:D104),"")</x:f>
        <x:v>116076</x:v>
      </x:c>
      <x:c r="C104" s="44" t="n">
        <x:v>107176</x:v>
      </x:c>
      <x:c r="D104" s="44" t="n">
        <x:v>8900</x:v>
      </x:c>
      <x:c r="E104" s="44" t="n">
        <x:v>21379</x:v>
      </x:c>
      <x:c r="F104" s="44" t="n">
        <x:v>2100</x:v>
      </x:c>
      <x:c r="G104" s="44" t="n">
        <x:v>729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43" t="n">
        <x:v>45937</x:v>
      </x:c>
      <x:c r="B105" s="44" t="n">
        <x:f>IF(COUNT(C105:D105)=2,SUM(C105:D105),"")</x:f>
        <x:v>137536</x:v>
      </x:c>
      <x:c r="C105" s="44" t="n">
        <x:v>128284</x:v>
      </x:c>
      <x:c r="D105" s="44" t="n">
        <x:v>9252</x:v>
      </x:c>
      <x:c r="E105" s="44" t="n">
        <x:v>21379</x:v>
      </x:c>
      <x:c r="F105" s="44" t="n">
        <x:v>2100</x:v>
      </x:c>
      <x:c r="G105" s="44" t="n">
        <x:v>854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43" t="n">
        <x:v>45938</x:v>
      </x:c>
      <x:c r="B106" s="44" t="n">
        <x:f>IF(COUNT(C106:D106)=2,SUM(C106:D106),"")</x:f>
        <x:v>140351</x:v>
      </x:c>
      <x:c r="C106" s="44" t="n">
        <x:v>130723</x:v>
      </x:c>
      <x:c r="D106" s="44" t="n">
        <x:v>9628</x:v>
      </x:c>
      <x:c r="E106" s="44" t="n">
        <x:v>21379</x:v>
      </x:c>
      <x:c r="F106" s="44" t="n">
        <x:v>2100</x:v>
      </x:c>
      <x:c r="G106" s="44" t="n">
        <x:v>852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43" t="n">
        <x:v>45939</x:v>
      </x:c>
      <x:c r="B107" s="44" t="n">
        <x:f>IF(COUNT(C107:D107)=2,SUM(C107:D107),"")</x:f>
        <x:v>148052</x:v>
      </x:c>
      <x:c r="C107" s="44" t="n">
        <x:v>137684</x:v>
      </x:c>
      <x:c r="D107" s="44" t="n">
        <x:v>10368</x:v>
      </x:c>
      <x:c r="E107" s="44" t="n">
        <x:v>21379</x:v>
      </x:c>
      <x:c r="F107" s="44" t="n">
        <x:v>2100</x:v>
      </x:c>
      <x:c r="G107" s="44" t="n">
        <x:v>834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43" t="n">
        <x:v>45940</x:v>
      </x:c>
      <x:c r="B108" s="44" t="n">
        <x:f>IF(COUNT(C108:D108)=2,SUM(C108:D108),"")</x:f>
        <x:v>131261</x:v>
      </x:c>
      <x:c r="C108" s="44" t="n">
        <x:v>121304</x:v>
      </x:c>
      <x:c r="D108" s="44" t="n">
        <x:v>9957</x:v>
      </x:c>
      <x:c r="E108" s="44" t="n">
        <x:v>21379</x:v>
      </x:c>
      <x:c r="F108" s="44" t="n">
        <x:v>2100</x:v>
      </x:c>
      <x:c r="G108" s="44" t="n">
        <x:v>895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43" t="n">
        <x:v>45941</x:v>
      </x:c>
      <x:c r="B109" s="44" t="n">
        <x:f>IF(COUNT(C109:D109)=2,SUM(C109:D109),"")</x:f>
        <x:v>135041</x:v>
      </x:c>
      <x:c r="C109" s="44" t="n">
        <x:v>124999</x:v>
      </x:c>
      <x:c r="D109" s="44" t="n">
        <x:v>10042</x:v>
      </x:c>
      <x:c r="E109" s="44" t="n">
        <x:v>21379</x:v>
      </x:c>
      <x:c r="F109" s="44" t="n">
        <x:v>2100</x:v>
      </x:c>
      <x:c r="G109" s="44" t="n">
        <x:v>822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43" t="n">
        <x:v>45942</x:v>
      </x:c>
      <x:c r="B110" s="44" t="n">
        <x:f>IF(COUNT(C110:D110)=2,SUM(C110:D110),"")</x:f>
        <x:v>124741</x:v>
      </x:c>
      <x:c r="C110" s="44" t="n">
        <x:v>115549</x:v>
      </x:c>
      <x:c r="D110" s="44" t="n">
        <x:v>9192</x:v>
      </x:c>
      <x:c r="E110" s="44" t="n">
        <x:v>21379</x:v>
      </x:c>
      <x:c r="F110" s="44" t="n">
        <x:v>2100</x:v>
      </x:c>
      <x:c r="G110" s="44" t="n">
        <x:v>820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43" t="n">
        <x:v>45943</x:v>
      </x:c>
      <x:c r="B111" s="44" t="n">
        <x:f>IF(COUNT(C111:D111)=2,SUM(C111:D111),"")</x:f>
        <x:v>136117</x:v>
      </x:c>
      <x:c r="C111" s="44" t="n">
        <x:v>126973</x:v>
      </x:c>
      <x:c r="D111" s="44" t="n">
        <x:v>9144</x:v>
      </x:c>
      <x:c r="E111" s="44" t="n">
        <x:v>21379</x:v>
      </x:c>
      <x:c r="F111" s="44" t="n">
        <x:v>2100</x:v>
      </x:c>
      <x:c r="G111" s="44" t="n">
        <x:v>760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43" t="n">
        <x:v>45944</x:v>
      </x:c>
      <x:c r="B112" s="44" t="n">
        <x:f>IF(COUNT(C112:D112)=2,SUM(C112:D112),"")</x:f>
        <x:v>140787</x:v>
      </x:c>
      <x:c r="C112" s="44" t="n">
        <x:v>131709</x:v>
      </x:c>
      <x:c r="D112" s="44" t="n">
        <x:v>9078</x:v>
      </x:c>
      <x:c r="E112" s="44" t="n">
        <x:v>21379</x:v>
      </x:c>
      <x:c r="F112" s="44" t="n">
        <x:v>2100</x:v>
      </x:c>
      <x:c r="G112" s="44" t="n">
        <x:v>811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43" t="n">
        <x:v>45945</x:v>
      </x:c>
      <x:c r="B113" s="44" t="n">
        <x:f>IF(COUNT(C113:D113)=2,SUM(C113:D113),"")</x:f>
        <x:v>144901</x:v>
      </x:c>
      <x:c r="C113" s="44" t="n">
        <x:v>135642</x:v>
      </x:c>
      <x:c r="D113" s="44" t="n">
        <x:v>9259</x:v>
      </x:c>
      <x:c r="E113" s="44" t="n">
        <x:v>21379</x:v>
      </x:c>
      <x:c r="F113" s="44" t="n">
        <x:v>2100</x:v>
      </x:c>
      <x:c r="G113" s="44" t="n">
        <x:v>852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43" t="n">
        <x:v>45946</x:v>
      </x:c>
      <x:c r="B114" s="44" t="n">
        <x:f>IF(COUNT(C114:D114)=2,SUM(C114:D114),"")</x:f>
        <x:v>144460</x:v>
      </x:c>
      <x:c r="C114" s="44" t="n">
        <x:v>135086</x:v>
      </x:c>
      <x:c r="D114" s="44" t="n">
        <x:v>9374</x:v>
      </x:c>
      <x:c r="E114" s="44" t="n">
        <x:v>21379</x:v>
      </x:c>
      <x:c r="F114" s="44" t="n">
        <x:v>2100</x:v>
      </x:c>
      <x:c r="G114" s="44" t="n">
        <x:v>767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43" t="n">
        <x:v>45947</x:v>
      </x:c>
      <x:c r="B115" s="44" t="n">
        <x:f>IF(COUNT(C115:D115)=2,SUM(C115:D115),"")</x:f>
        <x:v>151587</x:v>
      </x:c>
      <x:c r="C115" s="44" t="n">
        <x:v>141225</x:v>
      </x:c>
      <x:c r="D115" s="44" t="n">
        <x:v>10362</x:v>
      </x:c>
      <x:c r="E115" s="44" t="n">
        <x:v>21379</x:v>
      </x:c>
      <x:c r="F115" s="44" t="n">
        <x:v>2100</x:v>
      </x:c>
      <x:c r="G115" s="44" t="n">
        <x:v>835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43" t="n">
        <x:v>45948</x:v>
      </x:c>
      <x:c r="B116" s="44" t="n">
        <x:f>IF(COUNT(C116:D116)=2,SUM(C116:D116),"")</x:f>
        <x:v>147355</x:v>
      </x:c>
      <x:c r="C116" s="44" t="n">
        <x:v>136542</x:v>
      </x:c>
      <x:c r="D116" s="44" t="n">
        <x:v>10813</x:v>
      </x:c>
      <x:c r="E116" s="44" t="n">
        <x:v>21379</x:v>
      </x:c>
      <x:c r="F116" s="44" t="n">
        <x:v>2100</x:v>
      </x:c>
      <x:c r="G116" s="44" t="n">
        <x:v>913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43" t="n">
        <x:v>45949</x:v>
      </x:c>
      <x:c r="B117" s="44" t="n">
        <x:f>IF(COUNT(C117:D117)=2,SUM(C117:D117),"")</x:f>
        <x:v>75658</x:v>
      </x:c>
      <x:c r="C117" s="44" t="n">
        <x:v>70325</x:v>
      </x:c>
      <x:c r="D117" s="44" t="n">
        <x:v>5333</x:v>
      </x:c>
      <x:c r="E117" s="44" t="n">
        <x:v>21379</x:v>
      </x:c>
      <x:c r="F117" s="44" t="n">
        <x:v>2100</x:v>
      </x:c>
      <x:c r="G117" s="44" t="n">
        <x:v>557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43" t="n">
        <x:v>45950</x:v>
      </x:c>
      <x:c r="B118" s="44" t="n">
        <x:f>IF(COUNT(C118:D118)=2,SUM(C118:D118),"")</x:f>
        <x:v>20382</x:v>
      </x:c>
      <x:c r="C118" s="44" t="n">
        <x:v>18984</x:v>
      </x:c>
      <x:c r="D118" s="44" t="n">
        <x:v>1398</x:v>
      </x:c>
      <x:c r="E118" s="44" t="n">
        <x:v>21379</x:v>
      </x:c>
      <x:c r="F118" s="44" t="n">
        <x:v>2100</x:v>
      </x:c>
      <x:c r="G118" s="44" t="n">
        <x:v>143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43" t="n">
        <x:v>45951</x:v>
      </x:c>
      <x:c r="B119" s="44" t="n">
        <x:f>IF(COUNT(C119:D119)=2,SUM(C119:D119),"")</x:f>
        <x:v>16708</x:v>
      </x:c>
      <x:c r="C119" s="44" t="n">
        <x:v>15616</x:v>
      </x:c>
      <x:c r="D119" s="44" t="n">
        <x:v>1092</x:v>
      </x:c>
      <x:c r="E119" s="44" t="n">
        <x:v>21379</x:v>
      </x:c>
      <x:c r="F119" s="44" t="n">
        <x:v>2100</x:v>
      </x:c>
      <x:c r="G119" s="44" t="n">
        <x:v>97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43" t="n">
        <x:v>45952</x:v>
      </x:c>
      <x:c r="B120" s="44" t="n">
        <x:f>IF(COUNT(C120:D120)=2,SUM(C120:D120),"")</x:f>
        <x:v>37785</x:v>
      </x:c>
      <x:c r="C120" s="44" t="n">
        <x:v>35605</x:v>
      </x:c>
      <x:c r="D120" s="44" t="n">
        <x:v>2180</x:v>
      </x:c>
      <x:c r="E120" s="44" t="n">
        <x:v>21379</x:v>
      </x:c>
      <x:c r="F120" s="44" t="n">
        <x:v>2100</x:v>
      </x:c>
      <x:c r="G120" s="44" t="n">
        <x:v>227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43" t="n">
        <x:v>45953</x:v>
      </x:c>
      <x:c r="B121" s="44" t="n">
        <x:f>IF(COUNT(C121:D121)=2,SUM(C121:D121),"")</x:f>
        <x:v>65829</x:v>
      </x:c>
      <x:c r="C121" s="44" t="n">
        <x:v>62172</x:v>
      </x:c>
      <x:c r="D121" s="44" t="n">
        <x:v>3657</x:v>
      </x:c>
      <x:c r="E121" s="44" t="n">
        <x:v>21379</x:v>
      </x:c>
      <x:c r="F121" s="44" t="n">
        <x:v>2100</x:v>
      </x:c>
      <x:c r="G121" s="44" t="n">
        <x:v>384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43" t="n">
        <x:v>45954</x:v>
      </x:c>
      <x:c r="B122" s="44" t="n">
        <x:f>IF(COUNT(C122:D122)=2,SUM(C122:D122),"")</x:f>
        <x:v>46863</x:v>
      </x:c>
      <x:c r="C122" s="44" t="n">
        <x:v>44122</x:v>
      </x:c>
      <x:c r="D122" s="44" t="n">
        <x:v>2741</x:v>
      </x:c>
      <x:c r="E122" s="44" t="n">
        <x:v>21379</x:v>
      </x:c>
      <x:c r="F122" s="44" t="n">
        <x:v>2100</x:v>
      </x:c>
      <x:c r="G122" s="44" t="n">
        <x:v>305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43" t="n">
        <x:v>45955</x:v>
      </x:c>
      <x:c r="B123" s="44" t="n">
        <x:f>IF(COUNT(C123:D123)=2,SUM(C123:D123),"")</x:f>
        <x:v>79138</x:v>
      </x:c>
      <x:c r="C123" s="44" t="n">
        <x:v>74150</x:v>
      </x:c>
      <x:c r="D123" s="44" t="n">
        <x:v>4988</x:v>
      </x:c>
      <x:c r="E123" s="44" t="n">
        <x:v>21379</x:v>
      </x:c>
      <x:c r="F123" s="44" t="n">
        <x:v>2100</x:v>
      </x:c>
      <x:c r="G123" s="44" t="n">
        <x:v>514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43" t="n">
        <x:v>45956</x:v>
      </x:c>
      <x:c r="B124" s="44" t="n">
        <x:f>IF(COUNT(C124:D124)=2,SUM(C124:D124),"")</x:f>
        <x:v>100636</x:v>
      </x:c>
      <x:c r="C124" s="44" t="n">
        <x:v>93849</x:v>
      </x:c>
      <x:c r="D124" s="44" t="n">
        <x:v>6787</x:v>
      </x:c>
      <x:c r="E124" s="44" t="n">
        <x:v>21379</x:v>
      </x:c>
      <x:c r="F124" s="44" t="n">
        <x:v>2100</x:v>
      </x:c>
      <x:c r="G124" s="44" t="n">
        <x:v>774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43" t="n">
        <x:v>45957</x:v>
      </x:c>
      <x:c r="B125" s="44" t="n">
        <x:f>IF(COUNT(C125:D125)=2,SUM(C125:D125),"")</x:f>
        <x:v>111587</x:v>
      </x:c>
      <x:c r="C125" s="44" t="n">
        <x:v>104712</x:v>
      </x:c>
      <x:c r="D125" s="44" t="n">
        <x:v>6875</x:v>
      </x:c>
      <x:c r="E125" s="44" t="n">
        <x:v>21379</x:v>
      </x:c>
      <x:c r="F125" s="44" t="n">
        <x:v>2100</x:v>
      </x:c>
      <x:c r="G125" s="44" t="n">
        <x:v>764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43" t="n">
        <x:v>45958</x:v>
      </x:c>
      <x:c r="B126" s="44" t="n">
        <x:f>IF(COUNT(C126:D126)=2,SUM(C126:D126),"")</x:f>
        <x:v>58305</x:v>
      </x:c>
      <x:c r="C126" s="44" t="n">
        <x:v>54763</x:v>
      </x:c>
      <x:c r="D126" s="44" t="n">
        <x:v>3542</x:v>
      </x:c>
      <x:c r="E126" s="44" t="n">
        <x:v>21379</x:v>
      </x:c>
      <x:c r="F126" s="44" t="n">
        <x:v>2100</x:v>
      </x:c>
      <x:c r="G126" s="44" t="n">
        <x:v>343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43" t="n">
        <x:v>45959</x:v>
      </x:c>
      <x:c r="B127" s="44" t="n">
        <x:f>IF(COUNT(C127:D127)=2,SUM(C127:D127),"")</x:f>
        <x:v>134332</x:v>
      </x:c>
      <x:c r="C127" s="44" t="n">
        <x:v>125786</x:v>
      </x:c>
      <x:c r="D127" s="44" t="n">
        <x:v>8546</x:v>
      </x:c>
      <x:c r="E127" s="44" t="n">
        <x:v>21379</x:v>
      </x:c>
      <x:c r="F127" s="44" t="n">
        <x:v>2100</x:v>
      </x:c>
      <x:c r="G127" s="44" t="n">
        <x:v>995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43" t="n">
        <x:v>45960</x:v>
      </x:c>
      <x:c r="B128" s="44" t="n">
        <x:f>IF(COUNT(C128:D128)=2,SUM(C128:D128),"")</x:f>
        <x:v>140829</x:v>
      </x:c>
      <x:c r="C128" s="44" t="n">
        <x:v>131515</x:v>
      </x:c>
      <x:c r="D128" s="44" t="n">
        <x:v>9314</x:v>
      </x:c>
      <x:c r="E128" s="44" t="n">
        <x:v>21379</x:v>
      </x:c>
      <x:c r="F128" s="44" t="n">
        <x:v>2100</x:v>
      </x:c>
      <x:c r="G128" s="44" t="n">
        <x:v>1266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43" t="n">
        <x:v>45961</x:v>
      </x:c>
      <x:c r="B129" s="44" t="n">
        <x:f>IF(COUNT(C129:D129)=2,SUM(C129:D129),"")</x:f>
        <x:v>147192</x:v>
      </x:c>
      <x:c r="C129" s="44" t="n">
        <x:v>136995</x:v>
      </x:c>
      <x:c r="D129" s="44" t="n">
        <x:v>10197</x:v>
      </x:c>
      <x:c r="E129" s="44" t="n">
        <x:v>21379</x:v>
      </x:c>
      <x:c r="F129" s="44" t="n">
        <x:v>2100</x:v>
      </x:c>
      <x:c r="G129" s="44" t="n">
        <x:v>1424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43" t="n">
        <x:v>45962</x:v>
      </x:c>
      <x:c r="B130" s="44" t="n">
        <x:f>IF(COUNT(C130:D130)=2,SUM(C130:D130),"")</x:f>
        <x:v>128018</x:v>
      </x:c>
      <x:c r="C130" s="44" t="n">
        <x:v>119191</x:v>
      </x:c>
      <x:c r="D130" s="44" t="n">
        <x:v>8827</x:v>
      </x:c>
      <x:c r="E130" s="44" t="n">
        <x:v>21379</x:v>
      </x:c>
      <x:c r="F130" s="44" t="n">
        <x:v>2100</x:v>
      </x:c>
      <x:c r="G130" s="44" t="n">
        <x:v>820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43" t="n">
        <x:v>45963</x:v>
      </x:c>
      <x:c r="B131" s="44" t="n">
        <x:f>IF(COUNT(C131:D131)=2,SUM(C131:D131),"")</x:f>
        <x:v>97787</x:v>
      </x:c>
      <x:c r="C131" s="44" t="n">
        <x:v>91411</x:v>
      </x:c>
      <x:c r="D131" s="44" t="n">
        <x:v>6376</x:v>
      </x:c>
      <x:c r="E131" s="44" t="n">
        <x:v>21379</x:v>
      </x:c>
      <x:c r="F131" s="44" t="n">
        <x:v>2100</x:v>
      </x:c>
      <x:c r="G131" s="44" t="n">
        <x:v>550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43" t="n">
        <x:v>45964</x:v>
      </x:c>
      <x:c r="B132" s="44" t="n">
        <x:f>IF(COUNT(C132:D132)=2,SUM(C132:D132),"")</x:f>
        <x:v>84812</x:v>
      </x:c>
      <x:c r="C132" s="44" t="n">
        <x:v>79820</x:v>
      </x:c>
      <x:c r="D132" s="44" t="n">
        <x:v>4992</x:v>
      </x:c>
      <x:c r="E132" s="44" t="n">
        <x:v>21379</x:v>
      </x:c>
      <x:c r="F132" s="44" t="n">
        <x:v>2100</x:v>
      </x:c>
      <x:c r="G132" s="44" t="n">
        <x:v>459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43" t="n">
        <x:v>45965</x:v>
      </x:c>
      <x:c r="B133" s="44" t="n">
        <x:f>IF(COUNT(C133:D133)=2,SUM(C133:D133),"")</x:f>
        <x:v>110203</x:v>
      </x:c>
      <x:c r="C133" s="44" t="n">
        <x:v>103629</x:v>
      </x:c>
      <x:c r="D133" s="44" t="n">
        <x:v>6574</x:v>
      </x:c>
      <x:c r="E133" s="44" t="n">
        <x:v>21379</x:v>
      </x:c>
      <x:c r="F133" s="44" t="n">
        <x:v>2100</x:v>
      </x:c>
      <x:c r="G133" s="44" t="n">
        <x:v>655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43" t="n">
        <x:v>45966</x:v>
      </x:c>
      <x:c r="B134" s="44" t="n">
        <x:f>IF(COUNT(C134:D134)=2,SUM(C134:D134),"")</x:f>
        <x:v>130547</x:v>
      </x:c>
      <x:c r="C134" s="44" t="n">
        <x:v>122570</x:v>
      </x:c>
      <x:c r="D134" s="44" t="n">
        <x:v>7977</x:v>
      </x:c>
      <x:c r="E134" s="44" t="n">
        <x:v>21379</x:v>
      </x:c>
      <x:c r="F134" s="44" t="n">
        <x:v>2100</x:v>
      </x:c>
      <x:c r="G134" s="44" t="n">
        <x:v>781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43" t="n">
        <x:v>45967</x:v>
      </x:c>
      <x:c r="B135" s="44" t="n">
        <x:f>IF(COUNT(C135:D135)=2,SUM(C135:D135),"")</x:f>
        <x:v>141922</x:v>
      </x:c>
      <x:c r="C135" s="44" t="n">
        <x:v>132809</x:v>
      </x:c>
      <x:c r="D135" s="44" t="n">
        <x:v>9113</x:v>
      </x:c>
      <x:c r="E135" s="44" t="n">
        <x:v>21379</x:v>
      </x:c>
      <x:c r="F135" s="44" t="n">
        <x:v>2100</x:v>
      </x:c>
      <x:c r="G135" s="44" t="n">
        <x:v>859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43" t="n">
        <x:v>45968</x:v>
      </x:c>
      <x:c r="B136" s="44" t="n">
        <x:f>IF(COUNT(C136:D136)=2,SUM(C136:D136),"")</x:f>
        <x:v>151623</x:v>
      </x:c>
      <x:c r="C136" s="44" t="n">
        <x:v>141267</x:v>
      </x:c>
      <x:c r="D136" s="44" t="n">
        <x:v>10356</x:v>
      </x:c>
      <x:c r="E136" s="44" t="n">
        <x:v>21379</x:v>
      </x:c>
      <x:c r="F136" s="44" t="n">
        <x:v>2100</x:v>
      </x:c>
      <x:c r="G136" s="44" t="n">
        <x:v>895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43" t="n">
        <x:v>45969</x:v>
      </x:c>
      <x:c r="B137" s="44" t="n">
        <x:f>IF(COUNT(C137:D137)=2,SUM(C137:D137),"")</x:f>
        <x:v>151586</x:v>
      </x:c>
      <x:c r="C137" s="44" t="n">
        <x:v>140493</x:v>
      </x:c>
      <x:c r="D137" s="44" t="n">
        <x:v>11093</x:v>
      </x:c>
      <x:c r="E137" s="44" t="n">
        <x:v>21379</x:v>
      </x:c>
      <x:c r="F137" s="44" t="n">
        <x:v>2100</x:v>
      </x:c>
      <x:c r="G137" s="44" t="n">
        <x:v>939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43" t="n">
        <x:v>45970</x:v>
      </x:c>
      <x:c r="B138" s="44" t="n">
        <x:f>IF(COUNT(C138:D138)=2,SUM(C138:D138),"")</x:f>
        <x:v>127782</x:v>
      </x:c>
      <x:c r="C138" s="44" t="n">
        <x:v>119368</x:v>
      </x:c>
      <x:c r="D138" s="44" t="n">
        <x:v>8414</x:v>
      </x:c>
      <x:c r="E138" s="44" t="n">
        <x:v>21379</x:v>
      </x:c>
      <x:c r="F138" s="44" t="n">
        <x:v>2100</x:v>
      </x:c>
      <x:c r="G138" s="44" t="n">
        <x:v>826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43" t="n">
        <x:v>45971</x:v>
      </x:c>
      <x:c r="B139" s="44" t="n">
        <x:f>IF(COUNT(C139:D139)=2,SUM(C139:D139),"")</x:f>
        <x:v>64868</x:v>
      </x:c>
      <x:c r="C139" s="44" t="n">
        <x:v>61246</x:v>
      </x:c>
      <x:c r="D139" s="44" t="n">
        <x:v>3622</x:v>
      </x:c>
      <x:c r="E139" s="44" t="n">
        <x:v>21379</x:v>
      </x:c>
      <x:c r="F139" s="44" t="n">
        <x:v>2100</x:v>
      </x:c>
      <x:c r="G139" s="44" t="n">
        <x:v>301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43" t="n">
        <x:v>45972</x:v>
      </x:c>
      <x:c r="B140" s="44" t="n">
        <x:f>IF(COUNT(C140:D140)=2,SUM(C140:D140),"")</x:f>
        <x:v>62698</x:v>
      </x:c>
      <x:c r="C140" s="44" t="n">
        <x:v>59540</x:v>
      </x:c>
      <x:c r="D140" s="44" t="n">
        <x:v>3158</x:v>
      </x:c>
      <x:c r="E140" s="44" t="n">
        <x:v>21379</x:v>
      </x:c>
      <x:c r="F140" s="44" t="n">
        <x:v>2100</x:v>
      </x:c>
      <x:c r="G140" s="44" t="n">
        <x:v>275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43" t="n">
        <x:v>45973</x:v>
      </x:c>
      <x:c r="B141" s="44" t="n">
        <x:f>IF(COUNT(C141:D141)=2,SUM(C141:D141),"")</x:f>
        <x:v>109822</x:v>
      </x:c>
      <x:c r="C141" s="44" t="n">
        <x:v>103059</x:v>
      </x:c>
      <x:c r="D141" s="44" t="n">
        <x:v>6763</x:v>
      </x:c>
      <x:c r="E141" s="44" t="n">
        <x:v>21379</x:v>
      </x:c>
      <x:c r="F141" s="44" t="n">
        <x:v>2100</x:v>
      </x:c>
      <x:c r="G141" s="44" t="n">
        <x:v>677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43" t="n">
        <x:v>45974</x:v>
      </x:c>
      <x:c r="B142" s="44" t="n">
        <x:f>IF(COUNT(C142:D142)=2,SUM(C142:D142),"")</x:f>
        <x:v>52679</x:v>
      </x:c>
      <x:c r="C142" s="44" t="n">
        <x:v>49717</x:v>
      </x:c>
      <x:c r="D142" s="44" t="n">
        <x:v>2962</x:v>
      </x:c>
      <x:c r="E142" s="44" t="n">
        <x:v>21379</x:v>
      </x:c>
      <x:c r="F142" s="44" t="n">
        <x:v>2100</x:v>
      </x:c>
      <x:c r="G142" s="44" t="n">
        <x:v>268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43" t="n">
        <x:v>45975</x:v>
      </x:c>
      <x:c r="B143" s="44" t="n">
        <x:f>IF(COUNT(C143:D143)=2,SUM(C143:D143),"")</x:f>
        <x:v>146157</x:v>
      </x:c>
      <x:c r="C143" s="44" t="n">
        <x:v>136090</x:v>
      </x:c>
      <x:c r="D143" s="44" t="n">
        <x:v>10067</x:v>
      </x:c>
      <x:c r="E143" s="44" t="n">
        <x:v>21379</x:v>
      </x:c>
      <x:c r="F143" s="44" t="n">
        <x:v>2100</x:v>
      </x:c>
      <x:c r="G143" s="44" t="n">
        <x:v>969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43" t="n">
        <x:v>45976</x:v>
      </x:c>
      <x:c r="B144" s="44" t="n">
        <x:f>IF(COUNT(C144:D144)=2,SUM(C144:D144),"")</x:f>
        <x:v>149258</x:v>
      </x:c>
      <x:c r="C144" s="44" t="n">
        <x:v>137868</x:v>
      </x:c>
      <x:c r="D144" s="44" t="n">
        <x:v>11390</x:v>
      </x:c>
      <x:c r="E144" s="44" t="n">
        <x:v>21379</x:v>
      </x:c>
      <x:c r="F144" s="44" t="n">
        <x:v>2100</x:v>
      </x:c>
      <x:c r="G144" s="44" t="n">
        <x:v>979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43" t="n">
        <x:v>45977</x:v>
      </x:c>
      <x:c r="B145" s="44" t="n">
        <x:f>IF(COUNT(C145:D145)=2,SUM(C145:D145),"")</x:f>
        <x:v>137363</x:v>
      </x:c>
      <x:c r="C145" s="44" t="n">
        <x:v>127023</x:v>
      </x:c>
      <x:c r="D145" s="44" t="n">
        <x:v>10340</x:v>
      </x:c>
      <x:c r="E145" s="44" t="n">
        <x:v>21379</x:v>
      </x:c>
      <x:c r="F145" s="44" t="n">
        <x:v>2100</x:v>
      </x:c>
      <x:c r="G145" s="44" t="n">
        <x:v>977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43" t="n">
        <x:v>45978</x:v>
      </x:c>
      <x:c r="B146" s="44" t="n">
        <x:f>IF(COUNT(C146:D146)=2,SUM(C146:D146),"")</x:f>
        <x:v>76409</x:v>
      </x:c>
      <x:c r="C146" s="44" t="n">
        <x:v>71559</x:v>
      </x:c>
      <x:c r="D146" s="44" t="n">
        <x:v>4850</x:v>
      </x:c>
      <x:c r="E146" s="44" t="n">
        <x:v>21379</x:v>
      </x:c>
      <x:c r="F146" s="44" t="n">
        <x:v>2100</x:v>
      </x:c>
      <x:c r="G146" s="44" t="n">
        <x:v>457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43" t="n">
        <x:v>45979</x:v>
      </x:c>
      <x:c r="B147" s="44" t="n">
        <x:f>IF(COUNT(C147:D147)=2,SUM(C147:D147),"")</x:f>
        <x:v>76417</x:v>
      </x:c>
      <x:c r="C147" s="44" t="n">
        <x:v>71869</x:v>
      </x:c>
      <x:c r="D147" s="44" t="n">
        <x:v>4548</x:v>
      </x:c>
      <x:c r="E147" s="44" t="n">
        <x:v>21379</x:v>
      </x:c>
      <x:c r="F147" s="44" t="n">
        <x:v>2100</x:v>
      </x:c>
      <x:c r="G147" s="44" t="n">
        <x:v>428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43" t="n">
        <x:v>45980</x:v>
      </x:c>
      <x:c r="B148" s="44" t="n">
        <x:f>IF(COUNT(C148:D148)=2,SUM(C148:D148),"")</x:f>
        <x:v>117319</x:v>
      </x:c>
      <x:c r="C148" s="44" t="n">
        <x:v>110207</x:v>
      </x:c>
      <x:c r="D148" s="44" t="n">
        <x:v>7112</x:v>
      </x:c>
      <x:c r="E148" s="44" t="n">
        <x:v>21379</x:v>
      </x:c>
      <x:c r="F148" s="44" t="n">
        <x:v>2100</x:v>
      </x:c>
      <x:c r="G148" s="44" t="n">
        <x:v>605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43" t="n">
        <x:v>45981</x:v>
      </x:c>
      <x:c r="B149" s="44" t="n">
        <x:f>IF(COUNT(C149:D149)=2,SUM(C149:D149),"")</x:f>
        <x:v>130799</x:v>
      </x:c>
      <x:c r="C149" s="44" t="n">
        <x:v>122329</x:v>
      </x:c>
      <x:c r="D149" s="44" t="n">
        <x:v>8470</x:v>
      </x:c>
      <x:c r="E149" s="44" t="n">
        <x:v>21379</x:v>
      </x:c>
      <x:c r="F149" s="44" t="n">
        <x:v>2100</x:v>
      </x:c>
      <x:c r="G149" s="44" t="n">
        <x:v>870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43" t="n">
        <x:v>45982</x:v>
      </x:c>
      <x:c r="B150" s="44" t="n">
        <x:f>IF(COUNT(C150:D150)=2,SUM(C150:D150),"")</x:f>
        <x:v>139203</x:v>
      </x:c>
      <x:c r="C150" s="44" t="n">
        <x:v>129701</x:v>
      </x:c>
      <x:c r="D150" s="44" t="n">
        <x:v>9502</x:v>
      </x:c>
      <x:c r="E150" s="44" t="n">
        <x:v>21379</x:v>
      </x:c>
      <x:c r="F150" s="44" t="n">
        <x:v>2100</x:v>
      </x:c>
      <x:c r="G150" s="44" t="n">
        <x:v>888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43" t="n">
        <x:v>45983</x:v>
      </x:c>
      <x:c r="B151" s="44" t="n">
        <x:f>IF(COUNT(C151:D151)=2,SUM(C151:D151),"")</x:f>
        <x:v>143067</x:v>
      </x:c>
      <x:c r="C151" s="44" t="n">
        <x:v>132754</x:v>
      </x:c>
      <x:c r="D151" s="44" t="n">
        <x:v>10313</x:v>
      </x:c>
      <x:c r="E151" s="44" t="n">
        <x:v>21379</x:v>
      </x:c>
      <x:c r="F151" s="44" t="n">
        <x:v>2100</x:v>
      </x:c>
      <x:c r="G151" s="44" t="n">
        <x:v>1020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43" t="n">
        <x:v>45984</x:v>
      </x:c>
      <x:c r="B152" s="44" t="n">
        <x:f>IF(COUNT(C152:D152)=2,SUM(C152:D152),"")</x:f>
        <x:v>136757</x:v>
      </x:c>
      <x:c r="C152" s="44" t="n">
        <x:v>126690</x:v>
      </x:c>
      <x:c r="D152" s="44" t="n">
        <x:v>10067</x:v>
      </x:c>
      <x:c r="E152" s="44" t="n">
        <x:v>21379</x:v>
      </x:c>
      <x:c r="F152" s="44" t="n">
        <x:v>2100</x:v>
      </x:c>
      <x:c r="G152" s="44" t="n">
        <x:v>1050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43" t="n">
        <x:v>45985</x:v>
      </x:c>
      <x:c r="B153" s="44" t="n">
        <x:f>IF(COUNT(C153:D153)=2,SUM(C153:D153),"")</x:f>
        <x:v>135938</x:v>
      </x:c>
      <x:c r="C153" s="44" t="n">
        <x:v>126821</x:v>
      </x:c>
      <x:c r="D153" s="44" t="n">
        <x:v>9117</x:v>
      </x:c>
      <x:c r="E153" s="44" t="n">
        <x:v>21379</x:v>
      </x:c>
      <x:c r="F153" s="44" t="n">
        <x:v>2100</x:v>
      </x:c>
      <x:c r="G153" s="44" t="n">
        <x:v>956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43" t="n">
        <x:v>45986</x:v>
      </x:c>
      <x:c r="B154" s="44" t="n">
        <x:f>IF(COUNT(C154:D154)=2,SUM(C154:D154),"")</x:f>
        <x:v>132524</x:v>
      </x:c>
      <x:c r="C154" s="44" t="n">
        <x:v>124011</x:v>
      </x:c>
      <x:c r="D154" s="44" t="n">
        <x:v>8513</x:v>
      </x:c>
      <x:c r="E154" s="44" t="n">
        <x:v>21379</x:v>
      </x:c>
      <x:c r="F154" s="44" t="n">
        <x:v>2100</x:v>
      </x:c>
      <x:c r="G154" s="44" t="n">
        <x:v>886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43" t="n">
        <x:v>45987</x:v>
      </x:c>
      <x:c r="B155" s="44" t="n">
        <x:f>IF(COUNT(C155:D155)=2,SUM(C155:D155),"")</x:f>
        <x:v>137765</x:v>
      </x:c>
      <x:c r="C155" s="44" t="n">
        <x:v>128202</x:v>
      </x:c>
      <x:c r="D155" s="44" t="n">
        <x:v>9563</x:v>
      </x:c>
      <x:c r="E155" s="44" t="n">
        <x:v>21379</x:v>
      </x:c>
      <x:c r="F155" s="44" t="n">
        <x:v>2100</x:v>
      </x:c>
      <x:c r="G155" s="44" t="n">
        <x:v>1037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43" t="n">
        <x:v>45988</x:v>
      </x:c>
      <x:c r="B156" s="44" t="n">
        <x:f>IF(COUNT(C156:D156)=2,SUM(C156:D156),"")</x:f>
        <x:v>136116</x:v>
      </x:c>
      <x:c r="C156" s="44" t="n">
        <x:v>126871</x:v>
      </x:c>
      <x:c r="D156" s="44" t="n">
        <x:v>9245</x:v>
      </x:c>
      <x:c r="E156" s="44" t="n">
        <x:v>21379</x:v>
      </x:c>
      <x:c r="F156" s="44" t="n">
        <x:v>2100</x:v>
      </x:c>
      <x:c r="G156" s="44" t="n">
        <x:v>1007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43" t="n">
        <x:v>45989</x:v>
      </x:c>
      <x:c r="B157" s="44" t="n">
        <x:f>IF(COUNT(C157:D157)=2,SUM(C157:D157),"")</x:f>
        <x:v>144917</x:v>
      </x:c>
      <x:c r="C157" s="44" t="n">
        <x:v>134953</x:v>
      </x:c>
      <x:c r="D157" s="44" t="n">
        <x:v>9964</x:v>
      </x:c>
      <x:c r="E157" s="44" t="n">
        <x:v>21379</x:v>
      </x:c>
      <x:c r="F157" s="44" t="n">
        <x:v>2100</x:v>
      </x:c>
      <x:c r="G157" s="44" t="n">
        <x:v>1137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43" t="n">
        <x:v>45990</x:v>
      </x:c>
      <x:c r="B158" s="44" t="n">
        <x:f>IF(COUNT(C158:D158)=2,SUM(C158:D158),"")</x:f>
        <x:v>146854</x:v>
      </x:c>
      <x:c r="C158" s="44" t="n">
        <x:v>136030</x:v>
      </x:c>
      <x:c r="D158" s="44" t="n">
        <x:v>10824</x:v>
      </x:c>
      <x:c r="E158" s="44" t="n">
        <x:v>21379</x:v>
      </x:c>
      <x:c r="F158" s="44" t="n">
        <x:v>2100</x:v>
      </x:c>
      <x:c r="G158" s="44" t="n">
        <x:v>1215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43" t="n">
        <x:v>45991</x:v>
      </x:c>
      <x:c r="B159" s="44" t="n">
        <x:f>IF(COUNT(C159:D159)=2,SUM(C159:D159),"")</x:f>
        <x:v>107186</x:v>
      </x:c>
      <x:c r="C159" s="44" t="n">
        <x:v>99612</x:v>
      </x:c>
      <x:c r="D159" s="44" t="n">
        <x:v>7574</x:v>
      </x:c>
      <x:c r="E159" s="44" t="n">
        <x:v>21379</x:v>
      </x:c>
      <x:c r="F159" s="44" t="n">
        <x:v>2100</x:v>
      </x:c>
      <x:c r="G159" s="44" t="n">
        <x:v>1102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43" t="n">
        <x:v>45992</x:v>
      </x:c>
      <x:c r="B160" s="44" t="n">
        <x:f>IF(COUNT(C160:D160)=2,SUM(C160:D160),"")</x:f>
        <x:v>116965</x:v>
      </x:c>
      <x:c r="C160" s="44" t="n">
        <x:v>110122</x:v>
      </x:c>
      <x:c r="D160" s="44" t="n">
        <x:v>6843</x:v>
      </x:c>
      <x:c r="E160" s="44" t="n">
        <x:v>21379</x:v>
      </x:c>
      <x:c r="F160" s="44" t="n">
        <x:v>2100</x:v>
      </x:c>
      <x:c r="G160" s="44" t="n">
        <x:v>659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43" t="n">
        <x:v>45993</x:v>
      </x:c>
      <x:c r="B161" s="44" t="n">
        <x:f>IF(COUNT(C161:D161)=2,SUM(C161:D161),"")</x:f>
        <x:v>137349</x:v>
      </x:c>
      <x:c r="C161" s="44" t="n">
        <x:v>129057</x:v>
      </x:c>
      <x:c r="D161" s="44" t="n">
        <x:v>8292</x:v>
      </x:c>
      <x:c r="E161" s="44" t="n">
        <x:v>21379</x:v>
      </x:c>
      <x:c r="F161" s="44" t="n">
        <x:v>2100</x:v>
      </x:c>
      <x:c r="G161" s="44" t="n">
        <x:v>809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43" t="n">
        <x:v>45994</x:v>
      </x:c>
      <x:c r="B162" s="44" t="n">
        <x:f>IF(COUNT(C162:D162)=2,SUM(C162:D162),"")</x:f>
        <x:v>103747</x:v>
      </x:c>
      <x:c r="C162" s="44" t="n">
        <x:v>97817</x:v>
      </x:c>
      <x:c r="D162" s="44" t="n">
        <x:v>5930</x:v>
      </x:c>
      <x:c r="E162" s="44" t="n">
        <x:v>21379</x:v>
      </x:c>
      <x:c r="F162" s="44" t="n">
        <x:v>2100</x:v>
      </x:c>
      <x:c r="G162" s="44" t="n">
        <x:v>515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43" t="n">
        <x:v>45995</x:v>
      </x:c>
      <x:c r="B163" s="44" t="n">
        <x:f>IF(COUNT(C163:D163)=2,SUM(C163:D163),"")</x:f>
        <x:v>136244</x:v>
      </x:c>
      <x:c r="C163" s="44" t="n">
        <x:v>127578</x:v>
      </x:c>
      <x:c r="D163" s="44" t="n">
        <x:v>8666</x:v>
      </x:c>
      <x:c r="E163" s="44" t="n">
        <x:v>21379</x:v>
      </x:c>
      <x:c r="F163" s="44" t="n">
        <x:v>2100</x:v>
      </x:c>
      <x:c r="G163" s="44" t="n">
        <x:v>909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43" t="n">
        <x:v>45996</x:v>
      </x:c>
      <x:c r="B164" s="44" t="n">
        <x:f>IF(COUNT(C164:D164)=2,SUM(C164:D164),"")</x:f>
        <x:v>139963</x:v>
      </x:c>
      <x:c r="C164" s="44" t="n">
        <x:v>130850</x:v>
      </x:c>
      <x:c r="D164" s="44" t="n">
        <x:v>9113</x:v>
      </x:c>
      <x:c r="E164" s="44" t="n">
        <x:v>21379</x:v>
      </x:c>
      <x:c r="F164" s="44" t="n">
        <x:v>2100</x:v>
      </x:c>
      <x:c r="G164" s="44" t="n">
        <x:v>876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43" t="n">
        <x:v>45997</x:v>
      </x:c>
      <x:c r="B165" s="44" t="n">
        <x:f>IF(COUNT(C165:D165)=2,SUM(C165:D165),"")</x:f>
        <x:v>149682</x:v>
      </x:c>
      <x:c r="C165" s="44" t="n">
        <x:v>139010</x:v>
      </x:c>
      <x:c r="D165" s="44" t="n">
        <x:v>10672</x:v>
      </x:c>
      <x:c r="E165" s="44" t="n">
        <x:v>21379</x:v>
      </x:c>
      <x:c r="F165" s="44" t="n">
        <x:v>2100</x:v>
      </x:c>
      <x:c r="G165" s="44" t="n">
        <x:v>1012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43" t="n">
        <x:v>45998</x:v>
      </x:c>
      <x:c r="B166" s="44" t="n">
        <x:f>IF(COUNT(C166:D166)=2,SUM(C166:D166),"")</x:f>
        <x:v>138619</x:v>
      </x:c>
      <x:c r="C166" s="44" t="n">
        <x:v>128503</x:v>
      </x:c>
      <x:c r="D166" s="44" t="n">
        <x:v>10116</x:v>
      </x:c>
      <x:c r="E166" s="44" t="n">
        <x:v>21379</x:v>
      </x:c>
      <x:c r="F166" s="44" t="n">
        <x:v>2100</x:v>
      </x:c>
      <x:c r="G166" s="44" t="n">
        <x:v>989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43" t="n">
        <x:v>45999</x:v>
      </x:c>
      <x:c r="B167" s="44" t="n">
        <x:f>IF(COUNT(C167:D167)=2,SUM(C167:D167),"")</x:f>
        <x:v>116750</x:v>
      </x:c>
      <x:c r="C167" s="44" t="n">
        <x:v>110246</x:v>
      </x:c>
      <x:c r="D167" s="44" t="n">
        <x:v>6504</x:v>
      </x:c>
      <x:c r="E167" s="44" t="n">
        <x:v>21379</x:v>
      </x:c>
      <x:c r="F167" s="44" t="n">
        <x:v>2100</x:v>
      </x:c>
      <x:c r="G167" s="44" t="n">
        <x:v>635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43" t="n">
        <x:v>46000</x:v>
      </x:c>
      <x:c r="B168" s="44" t="n">
        <x:f>IF(COUNT(C168:D168)=2,SUM(C168:D168),"")</x:f>
        <x:v>107691</x:v>
      </x:c>
      <x:c r="C168" s="44" t="n">
        <x:v>101719</x:v>
      </x:c>
      <x:c r="D168" s="44" t="n">
        <x:v>5972</x:v>
      </x:c>
      <x:c r="E168" s="44" t="n">
        <x:v>21379</x:v>
      </x:c>
      <x:c r="F168" s="44" t="n">
        <x:v>2100</x:v>
      </x:c>
      <x:c r="G168" s="44" t="n">
        <x:v>592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43" t="n">
        <x:v>46001</x:v>
      </x:c>
      <x:c r="B169" s="44" t="n">
        <x:f>IF(COUNT(C169:D169)=2,SUM(C169:D169),"")</x:f>
        <x:v>141556</x:v>
      </x:c>
      <x:c r="C169" s="44" t="n">
        <x:v>132888</x:v>
      </x:c>
      <x:c r="D169" s="44" t="n">
        <x:v>8668</x:v>
      </x:c>
      <x:c r="E169" s="44" t="n">
        <x:v>21379</x:v>
      </x:c>
      <x:c r="F169" s="44" t="n">
        <x:v>2100</x:v>
      </x:c>
      <x:c r="G169" s="44" t="n">
        <x:v>929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43" t="n">
        <x:v>46002</x:v>
      </x:c>
      <x:c r="B170" s="44" t="n">
        <x:f>IF(COUNT(C170:D170)=2,SUM(C170:D170),"")</x:f>
        <x:v>140907</x:v>
      </x:c>
      <x:c r="C170" s="44" t="n">
        <x:v>132274</x:v>
      </x:c>
      <x:c r="D170" s="44" t="n">
        <x:v>8633</x:v>
      </x:c>
      <x:c r="E170" s="44" t="n">
        <x:v>21379</x:v>
      </x:c>
      <x:c r="F170" s="44" t="n">
        <x:v>2100</x:v>
      </x:c>
      <x:c r="G170" s="44" t="n">
        <x:v>874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43" t="n">
        <x:v>46003</x:v>
      </x:c>
      <x:c r="B171" s="44" t="n">
        <x:f>IF(COUNT(C171:D171)=2,SUM(C171:D171),"")</x:f>
        <x:v>109666</x:v>
      </x:c>
      <x:c r="C171" s="44" t="n">
        <x:v>102887</x:v>
      </x:c>
      <x:c r="D171" s="44" t="n">
        <x:v>6779</x:v>
      </x:c>
      <x:c r="E171" s="44" t="n">
        <x:v>21379</x:v>
      </x:c>
      <x:c r="F171" s="44" t="n">
        <x:v>2100</x:v>
      </x:c>
      <x:c r="G171" s="44" t="n">
        <x:v>568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43" t="n">
        <x:v>46004</x:v>
      </x:c>
      <x:c r="B172" s="44" t="n">
        <x:f>IF(COUNT(C172:D172)=2,SUM(C172:D172),"")</x:f>
        <x:v>74666</x:v>
      </x:c>
      <x:c r="C172" s="44" t="n">
        <x:v>69753</x:v>
      </x:c>
      <x:c r="D172" s="44" t="n">
        <x:v>4913</x:v>
      </x:c>
      <x:c r="E172" s="44" t="n">
        <x:v>21379</x:v>
      </x:c>
      <x:c r="F172" s="44" t="n">
        <x:v>2100</x:v>
      </x:c>
      <x:c r="G172" s="44" t="n">
        <x:v>428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43" t="n">
        <x:v>46005</x:v>
      </x:c>
      <x:c r="B173" s="44" t="n">
        <x:f>IF(COUNT(C173:D173)=2,SUM(C173:D173),"")</x:f>
        <x:v>119297</x:v>
      </x:c>
      <x:c r="C173" s="44" t="n">
        <x:v>110855</x:v>
      </x:c>
      <x:c r="D173" s="44" t="n">
        <x:v>8442</x:v>
      </x:c>
      <x:c r="E173" s="44" t="n">
        <x:v>21379</x:v>
      </x:c>
      <x:c r="F173" s="44" t="n">
        <x:v>2100</x:v>
      </x:c>
      <x:c r="G173" s="44" t="n">
        <x:v>889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43" t="n">
        <x:v>46006</x:v>
      </x:c>
      <x:c r="B174" s="44" t="n">
        <x:f>IF(COUNT(C174:D174)=2,SUM(C174:D174),"")</x:f>
        <x:v>131539</x:v>
      </x:c>
      <x:c r="C174" s="44" t="n">
        <x:v>123082</x:v>
      </x:c>
      <x:c r="D174" s="44" t="n">
        <x:v>8457</x:v>
      </x:c>
      <x:c r="E174" s="44" t="n">
        <x:v>21379</x:v>
      </x:c>
      <x:c r="F174" s="44" t="n">
        <x:v>2100</x:v>
      </x:c>
      <x:c r="G174" s="44" t="n">
        <x:v>815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43" t="n">
        <x:v>46007</x:v>
      </x:c>
      <x:c r="B175" s="44" t="n">
        <x:f>IF(COUNT(C175:D175)=2,SUM(C175:D175),"")</x:f>
        <x:v>138987</x:v>
      </x:c>
      <x:c r="C175" s="44" t="n">
        <x:v>130123</x:v>
      </x:c>
      <x:c r="D175" s="44" t="n">
        <x:v>8864</x:v>
      </x:c>
      <x:c r="E175" s="44" t="n">
        <x:v>21379</x:v>
      </x:c>
      <x:c r="F175" s="44" t="n">
        <x:v>2100</x:v>
      </x:c>
      <x:c r="G175" s="44" t="n">
        <x:v>897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43" t="n">
        <x:v>46008</x:v>
      </x:c>
      <x:c r="B176" s="44" t="n">
        <x:f>IF(COUNT(C176:D176)=2,SUM(C176:D176),"")</x:f>
        <x:v>141503</x:v>
      </x:c>
      <x:c r="C176" s="44" t="n">
        <x:v>132426</x:v>
      </x:c>
      <x:c r="D176" s="44" t="n">
        <x:v>9077</x:v>
      </x:c>
      <x:c r="E176" s="44" t="n">
        <x:v>21379</x:v>
      </x:c>
      <x:c r="F176" s="44" t="n">
        <x:v>2100</x:v>
      </x:c>
      <x:c r="G176" s="44" t="n">
        <x:v>929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43" t="n">
        <x:v>46009</x:v>
      </x:c>
      <x:c r="B177" s="44" t="n">
        <x:f>IF(COUNT(C177:D177)=2,SUM(C177:D177),"")</x:f>
        <x:v>136973</x:v>
      </x:c>
      <x:c r="C177" s="44" t="n">
        <x:v>128291</x:v>
      </x:c>
      <x:c r="D177" s="44" t="n">
        <x:v>8682</x:v>
      </x:c>
      <x:c r="E177" s="44" t="n">
        <x:v>21379</x:v>
      </x:c>
      <x:c r="F177" s="44" t="n">
        <x:v>2100</x:v>
      </x:c>
      <x:c r="G177" s="44" t="n">
        <x:v>810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43" t="n">
        <x:v>46010</x:v>
      </x:c>
      <x:c r="B178" s="44" t="n">
        <x:f>IF(COUNT(C178:D178)=2,SUM(C178:D178),"")</x:f>
        <x:v>138143</x:v>
      </x:c>
      <x:c r="C178" s="44" t="n">
        <x:v>129277</x:v>
      </x:c>
      <x:c r="D178" s="44" t="n">
        <x:v>8866</x:v>
      </x:c>
      <x:c r="E178" s="44" t="n">
        <x:v>21379</x:v>
      </x:c>
      <x:c r="F178" s="44" t="n">
        <x:v>2100</x:v>
      </x:c>
      <x:c r="G178" s="44" t="n">
        <x:v>823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43" t="n">
        <x:v>46011</x:v>
      </x:c>
      <x:c r="B179" s="44" t="n">
        <x:f>IF(COUNT(C179:D179)=2,SUM(C179:D179),"")</x:f>
        <x:v>144845</x:v>
      </x:c>
      <x:c r="C179" s="44" t="n">
        <x:v>134463</x:v>
      </x:c>
      <x:c r="D179" s="44" t="n">
        <x:v>10382</x:v>
      </x:c>
      <x:c r="E179" s="44" t="n">
        <x:v>21379</x:v>
      </x:c>
      <x:c r="F179" s="44" t="n">
        <x:v>2100</x:v>
      </x:c>
      <x:c r="G179" s="44" t="n">
        <x:v>1030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43" t="n">
        <x:v>46012</x:v>
      </x:c>
      <x:c r="B180" s="44" t="n">
        <x:f>IF(COUNT(C180:D180)=2,SUM(C180:D180),"")</x:f>
        <x:v>113875</x:v>
      </x:c>
      <x:c r="C180" s="44" t="n">
        <x:v>106626</x:v>
      </x:c>
      <x:c r="D180" s="44" t="n">
        <x:v>7249</x:v>
      </x:c>
      <x:c r="E180" s="44" t="n">
        <x:v>21379</x:v>
      </x:c>
      <x:c r="F180" s="44" t="n">
        <x:v>2100</x:v>
      </x:c>
      <x:c r="G180" s="44" t="n">
        <x:v>724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43" t="n">
        <x:v>46013</x:v>
      </x:c>
      <x:c r="B181" s="44" t="n">
        <x:f>IF(COUNT(C181:D181)=2,SUM(C181:D181),"")</x:f>
        <x:v>132965</x:v>
      </x:c>
      <x:c r="C181" s="44" t="n">
        <x:v>124424</x:v>
      </x:c>
      <x:c r="D181" s="44" t="n">
        <x:v>8541</x:v>
      </x:c>
      <x:c r="E181" s="44" t="n">
        <x:v>21379</x:v>
      </x:c>
      <x:c r="F181" s="44" t="n">
        <x:v>2100</x:v>
      </x:c>
      <x:c r="G181" s="44" t="n">
        <x:v>818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43" t="n">
        <x:v>46014</x:v>
      </x:c>
      <x:c r="B182" s="44" t="n">
        <x:f>IF(COUNT(C182:D182)=2,SUM(C182:D182),"")</x:f>
        <x:v>142880</x:v>
      </x:c>
      <x:c r="C182" s="44" t="n">
        <x:v>133236</x:v>
      </x:c>
      <x:c r="D182" s="44" t="n">
        <x:v>9644</x:v>
      </x:c>
      <x:c r="E182" s="44" t="n">
        <x:v>21379</x:v>
      </x:c>
      <x:c r="F182" s="44" t="n">
        <x:v>2100</x:v>
      </x:c>
      <x:c r="G182" s="44" t="n">
        <x:v>1025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43" t="n">
        <x:v>46015</x:v>
      </x:c>
      <x:c r="B183" s="44" t="n">
        <x:f>IF(COUNT(C183:D183)=2,SUM(C183:D183),"")</x:f>
        <x:v>148463</x:v>
      </x:c>
      <x:c r="C183" s="44" t="n">
        <x:v>138157</x:v>
      </x:c>
      <x:c r="D183" s="44" t="n">
        <x:v>10306</x:v>
      </x:c>
      <x:c r="E183" s="44" t="n">
        <x:v>21379</x:v>
      </x:c>
      <x:c r="F183" s="44" t="n">
        <x:v>2100</x:v>
      </x:c>
      <x:c r="G183" s="44" t="n">
        <x:v>1006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43" t="n">
        <x:v>46016</x:v>
      </x:c>
      <x:c r="B184" s="44" t="n">
        <x:f>IF(COUNT(C184:D184)=2,SUM(C184:D184),"")</x:f>
        <x:v>47497</x:v>
      </x:c>
      <x:c r="C184" s="44" t="n">
        <x:v>44184</x:v>
      </x:c>
      <x:c r="D184" s="44" t="n">
        <x:v>3313</x:v>
      </x:c>
      <x:c r="E184" s="44" t="n">
        <x:v>21379</x:v>
      </x:c>
      <x:c r="F184" s="44" t="n">
        <x:v>2100</x:v>
      </x:c>
      <x:c r="G184" s="44" t="n">
        <x:v>309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43" t="n">
        <x:v>46017</x:v>
      </x:c>
      <x:c r="B185" s="44" t="n">
        <x:f>IF(COUNT(C185:D185)=2,SUM(C185:D185),"")</x:f>
        <x:v>87636</x:v>
      </x:c>
      <x:c r="C185" s="44" t="n">
        <x:v>82064</x:v>
      </x:c>
      <x:c r="D185" s="44" t="n">
        <x:v>5572</x:v>
      </x:c>
      <x:c r="E185" s="44" t="n">
        <x:v>21379</x:v>
      </x:c>
      <x:c r="F185" s="44" t="n">
        <x:v>2100</x:v>
      </x:c>
      <x:c r="G185" s="44" t="n">
        <x:v>523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43" t="n">
        <x:v>46018</x:v>
      </x:c>
      <x:c r="B186" s="44" t="n">
        <x:f>IF(COUNT(C186:D186)=2,SUM(C186:D186),"")</x:f>
        <x:v>77399</x:v>
      </x:c>
      <x:c r="C186" s="44" t="n">
        <x:v>72385</x:v>
      </x:c>
      <x:c r="D186" s="44" t="n">
        <x:v>5014</x:v>
      </x:c>
      <x:c r="E186" s="44" t="n">
        <x:v>21379</x:v>
      </x:c>
      <x:c r="F186" s="44" t="n">
        <x:v>2100</x:v>
      </x:c>
      <x:c r="G186" s="44" t="n">
        <x:v>527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43" t="n">
        <x:v>46019</x:v>
      </x:c>
      <x:c r="B187" s="44" t="n">
        <x:f>IF(COUNT(C187:D187)=2,SUM(C187:D187),"")</x:f>
        <x:v>104596</x:v>
      </x:c>
      <x:c r="C187" s="44" t="n">
        <x:v>97398</x:v>
      </x:c>
      <x:c r="D187" s="44" t="n">
        <x:v>7198</x:v>
      </x:c>
      <x:c r="E187" s="44" t="n">
        <x:v>21379</x:v>
      </x:c>
      <x:c r="F187" s="44" t="n">
        <x:v>2100</x:v>
      </x:c>
      <x:c r="G187" s="44" t="n">
        <x:v>901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43" t="n">
        <x:v>46020</x:v>
      </x:c>
      <x:c r="B188" s="44" t="n">
        <x:f>IF(COUNT(C188:D188)=2,SUM(C188:D188),"")</x:f>
        <x:v>135774</x:v>
      </x:c>
      <x:c r="C188" s="44" t="n">
        <x:v>126834</x:v>
      </x:c>
      <x:c r="D188" s="44" t="n">
        <x:v>8940</x:v>
      </x:c>
      <x:c r="E188" s="44" t="n">
        <x:v>21379</x:v>
      </x:c>
      <x:c r="F188" s="44" t="n">
        <x:v>2100</x:v>
      </x:c>
      <x:c r="G188" s="44" t="n">
        <x:v>1100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43" t="n">
        <x:v>46021</x:v>
      </x:c>
      <x:c r="B189" s="44" t="n">
        <x:f>IF(COUNT(C189:D189)=2,SUM(C189:D189),"")</x:f>
        <x:v>115856</x:v>
      </x:c>
      <x:c r="C189" s="44" t="n">
        <x:v>108269</x:v>
      </x:c>
      <x:c r="D189" s="44" t="n">
        <x:v>7587</x:v>
      </x:c>
      <x:c r="E189" s="44" t="n">
        <x:v>21379</x:v>
      </x:c>
      <x:c r="F189" s="44" t="n">
        <x:v>2100</x:v>
      </x:c>
      <x:c r="G189" s="44" t="n">
        <x:v>934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43" t="n">
        <x:v>46022</x:v>
      </x:c>
      <x:c r="B190" s="44" t="n">
        <x:f>IF(COUNT(C190:D190)=2,SUM(C190:D190),"")</x:f>
        <x:v>60530</x:v>
      </x:c>
      <x:c r="C190" s="44" t="n">
        <x:v>56179</x:v>
      </x:c>
      <x:c r="D190" s="44" t="n">
        <x:v>4351</x:v>
      </x:c>
      <x:c r="E190" s="44" t="n">
        <x:v>21379</x:v>
      </x:c>
      <x:c r="F190" s="44" t="n">
        <x:v>2100</x:v>
      </x:c>
      <x:c r="G190" s="44" t="n">
        <x:v>530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43" t="n">
        <x:v>46023</x:v>
      </x:c>
      <x:c r="B191" s="44" t="n">
        <x:f>IF(COUNT(C191:D191)=2,SUM(C191:D191),"")</x:f>
        <x:v>60488</x:v>
      </x:c>
      <x:c r="C191" s="44" t="n">
        <x:v>56422</x:v>
      </x:c>
      <x:c r="D191" s="44" t="n">
        <x:v>4066</x:v>
      </x:c>
      <x:c r="E191" s="44" t="n">
        <x:v>21379</x:v>
      </x:c>
      <x:c r="F191" s="44" t="n">
        <x:v>2100</x:v>
      </x:c>
      <x:c r="G191" s="44" t="n">
        <x:v>436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43" t="n">
        <x:v>46024</x:v>
      </x:c>
      <x:c r="B192" s="44" t="n">
        <x:f>IF(COUNT(C192:D192)=2,SUM(C192:D192),"")</x:f>
        <x:v>82985</x:v>
      </x:c>
      <x:c r="C192" s="44" t="n">
        <x:v>77749</x:v>
      </x:c>
      <x:c r="D192" s="44" t="n">
        <x:v>5236</x:v>
      </x:c>
      <x:c r="E192" s="44" t="n">
        <x:v>21379</x:v>
      </x:c>
      <x:c r="F192" s="44" t="n">
        <x:v>2100</x:v>
      </x:c>
      <x:c r="G192" s="44" t="n">
        <x:v>428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43" t="n">
        <x:v>46025</x:v>
      </x:c>
      <x:c r="B193" s="44" t="n">
        <x:f>IF(COUNT(C193:D193)=2,SUM(C193:D193),"")</x:f>
        <x:v>123359</x:v>
      </x:c>
      <x:c r="C193" s="44" t="n">
        <x:v>114155</x:v>
      </x:c>
      <x:c r="D193" s="44" t="n">
        <x:v>9204</x:v>
      </x:c>
      <x:c r="E193" s="44" t="n">
        <x:v>21379</x:v>
      </x:c>
      <x:c r="F193" s="44" t="n">
        <x:v>2100</x:v>
      </x:c>
      <x:c r="G193" s="44" t="n">
        <x:v>940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43" t="n">
        <x:v>46026</x:v>
      </x:c>
      <x:c r="B194" s="44" t="n">
        <x:f>IF(COUNT(C194:D194)=2,SUM(C194:D194),"")</x:f>
        <x:v>124689</x:v>
      </x:c>
      <x:c r="C194" s="44" t="n">
        <x:v>115082</x:v>
      </x:c>
      <x:c r="D194" s="44" t="n">
        <x:v>9607</x:v>
      </x:c>
      <x:c r="E194" s="44" t="n">
        <x:v>21379</x:v>
      </x:c>
      <x:c r="F194" s="44" t="n">
        <x:v>2100</x:v>
      </x:c>
      <x:c r="G194" s="44" t="n">
        <x:v>951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43" t="n">
        <x:v>46027</x:v>
      </x:c>
      <x:c r="B195" s="44" t="n">
        <x:f>IF(COUNT(C195:D195)=2,SUM(C195:D195),"")</x:f>
        <x:v>118594</x:v>
      </x:c>
      <x:c r="C195" s="44" t="n">
        <x:v>110798</x:v>
      </x:c>
      <x:c r="D195" s="44" t="n">
        <x:v>7796</x:v>
      </x:c>
      <x:c r="E195" s="44" t="n">
        <x:v>21379</x:v>
      </x:c>
      <x:c r="F195" s="44" t="n">
        <x:v>2100</x:v>
      </x:c>
      <x:c r="G195" s="44" t="n">
        <x:v>769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43" t="n">
        <x:v>46028</x:v>
      </x:c>
      <x:c r="B196" s="44" t="n">
        <x:f>IF(COUNT(C196:D196)=2,SUM(C196:D196),"")</x:f>
        <x:v>108316</x:v>
      </x:c>
      <x:c r="C196" s="44" t="n">
        <x:v>101313</x:v>
      </x:c>
      <x:c r="D196" s="44" t="n">
        <x:v>7003</x:v>
      </x:c>
      <x:c r="E196" s="44" t="n">
        <x:v>21379</x:v>
      </x:c>
      <x:c r="F196" s="44" t="n">
        <x:v>2100</x:v>
      </x:c>
      <x:c r="G196" s="44" t="n">
        <x:v>660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43" t="n">
        <x:v>46029</x:v>
      </x:c>
      <x:c r="B197" s="44" t="n">
        <x:f>IF(COUNT(C197:D197)=2,SUM(C197:D197),"")</x:f>
        <x:v>119680</x:v>
      </x:c>
      <x:c r="C197" s="44" t="n">
        <x:v>111824</x:v>
      </x:c>
      <x:c r="D197" s="44" t="n">
        <x:v>7856</x:v>
      </x:c>
      <x:c r="E197" s="44" t="n">
        <x:v>21379</x:v>
      </x:c>
      <x:c r="F197" s="44" t="n">
        <x:v>2100</x:v>
      </x:c>
      <x:c r="G197" s="44" t="n">
        <x:v>729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43" t="n">
        <x:v>46030</x:v>
      </x:c>
      <x:c r="B198" s="44" t="n">
        <x:f>IF(COUNT(C198:D198)=2,SUM(C198:D198),"")</x:f>
        <x:v>121238</x:v>
      </x:c>
      <x:c r="C198" s="44" t="n">
        <x:v>113122</x:v>
      </x:c>
      <x:c r="D198" s="44" t="n">
        <x:v>8116</x:v>
      </x:c>
      <x:c r="E198" s="44" t="n">
        <x:v>21379</x:v>
      </x:c>
      <x:c r="F198" s="44" t="n">
        <x:v>2100</x:v>
      </x:c>
      <x:c r="G198" s="44" t="n">
        <x:v>751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43" t="n">
        <x:v>46031</x:v>
      </x:c>
      <x:c r="B199" s="44" t="n">
        <x:f>IF(COUNT(C199:D199)=2,SUM(C199:D199),"")</x:f>
        <x:v>135062</x:v>
      </x:c>
      <x:c r="C199" s="44" t="n">
        <x:v>125691</x:v>
      </x:c>
      <x:c r="D199" s="44" t="n">
        <x:v>9371</x:v>
      </x:c>
      <x:c r="E199" s="44" t="n">
        <x:v>21379</x:v>
      </x:c>
      <x:c r="F199" s="44" t="n">
        <x:v>2100</x:v>
      </x:c>
      <x:c r="G199" s="44" t="n">
        <x:v>843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43" t="n">
        <x:v>46032</x:v>
      </x:c>
      <x:c r="B200" s="44" t="n">
        <x:f>IF(COUNT(C200:D200)=2,SUM(C200:D200),"")</x:f>
        <x:v>129172</x:v>
      </x:c>
      <x:c r="C200" s="44" t="n">
        <x:v>119540</x:v>
      </x:c>
      <x:c r="D200" s="44" t="n">
        <x:v>9632</x:v>
      </x:c>
      <x:c r="E200" s="44" t="n">
        <x:v>21379</x:v>
      </x:c>
      <x:c r="F200" s="44" t="n">
        <x:v>2100</x:v>
      </x:c>
      <x:c r="G200" s="44" t="n">
        <x:v>929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43" t="n">
        <x:v>46033</x:v>
      </x:c>
      <x:c r="B201" s="44" t="n">
        <x:f>IF(COUNT(C201:D201)=2,SUM(C201:D201),"")</x:f>
        <x:v>110741</x:v>
      </x:c>
      <x:c r="C201" s="44" t="n">
        <x:v>102549</x:v>
      </x:c>
      <x:c r="D201" s="44" t="n">
        <x:v>8192</x:v>
      </x:c>
      <x:c r="E201" s="44" t="n">
        <x:v>21379</x:v>
      </x:c>
      <x:c r="F201" s="44" t="n">
        <x:v>2100</x:v>
      </x:c>
      <x:c r="G201" s="44" t="n">
        <x:v>780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43" t="n">
        <x:v>46034</x:v>
      </x:c>
      <x:c r="B202" s="44" t="n">
        <x:f>IF(COUNT(C202:D202)=2,SUM(C202:D202),"")</x:f>
        <x:v>122684</x:v>
      </x:c>
      <x:c r="C202" s="44" t="n">
        <x:v>114735</x:v>
      </x:c>
      <x:c r="D202" s="44" t="n">
        <x:v>7949</x:v>
      </x:c>
      <x:c r="E202" s="44" t="n">
        <x:v>21379</x:v>
      </x:c>
      <x:c r="F202" s="44" t="n">
        <x:v>2100</x:v>
      </x:c>
      <x:c r="G202" s="44" t="n">
        <x:v>796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43" t="n">
        <x:v>46035</x:v>
      </x:c>
      <x:c r="B203" s="44" t="n">
        <x:f>IF(COUNT(C203:D203)=2,SUM(C203:D203),"")</x:f>
        <x:v>133326</x:v>
      </x:c>
      <x:c r="C203" s="44" t="n">
        <x:v>124410</x:v>
      </x:c>
      <x:c r="D203" s="44" t="n">
        <x:v>8916</x:v>
      </x:c>
      <x:c r="E203" s="44" t="n">
        <x:v>21379</x:v>
      </x:c>
      <x:c r="F203" s="44" t="n">
        <x:v>2100</x:v>
      </x:c>
      <x:c r="G203" s="44" t="n">
        <x:v>908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43" t="n">
        <x:v>46036</x:v>
      </x:c>
      <x:c r="B204" s="44" t="n">
        <x:f>IF(COUNT(C204:D204)=2,SUM(C204:D204),"")</x:f>
        <x:v>136254</x:v>
      </x:c>
      <x:c r="C204" s="44" t="n">
        <x:v>127199</x:v>
      </x:c>
      <x:c r="D204" s="44" t="n">
        <x:v>9055</x:v>
      </x:c>
      <x:c r="E204" s="44" t="n">
        <x:v>21379</x:v>
      </x:c>
      <x:c r="F204" s="44" t="n">
        <x:v>2100</x:v>
      </x:c>
      <x:c r="G204" s="44" t="n">
        <x:v>909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43" t="n">
        <x:v>46037</x:v>
      </x:c>
      <x:c r="B205" s="44" t="n">
        <x:f>IF(COUNT(C205:D205)=2,SUM(C205:D205),"")</x:f>
        <x:v>138433</x:v>
      </x:c>
      <x:c r="C205" s="44" t="n">
        <x:v>129369</x:v>
      </x:c>
      <x:c r="D205" s="44" t="n">
        <x:v>9064</x:v>
      </x:c>
      <x:c r="E205" s="44" t="n">
        <x:v>21379</x:v>
      </x:c>
      <x:c r="F205" s="44" t="n">
        <x:v>2100</x:v>
      </x:c>
      <x:c r="G205" s="44" t="n">
        <x:v>927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43" t="n">
        <x:v>46038</x:v>
      </x:c>
      <x:c r="B206" s="44" t="n">
        <x:f>IF(COUNT(C206:D206)=2,SUM(C206:D206),"")</x:f>
        <x:v>145034</x:v>
      </x:c>
      <x:c r="C206" s="44" t="n">
        <x:v>135463</x:v>
      </x:c>
      <x:c r="D206" s="44" t="n">
        <x:v>9571</x:v>
      </x:c>
      <x:c r="E206" s="44" t="n">
        <x:v>21379</x:v>
      </x:c>
      <x:c r="F206" s="44" t="n">
        <x:v>2100</x:v>
      </x:c>
      <x:c r="G206" s="44" t="n">
        <x:v>851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43" t="n">
        <x:v>46039</x:v>
      </x:c>
      <x:c r="B207" s="44" t="n">
        <x:f>IF(COUNT(C207:D207)=2,SUM(C207:D207),"")</x:f>
        <x:v>138626</x:v>
      </x:c>
      <x:c r="C207" s="44" t="n">
        <x:v>128294</x:v>
      </x:c>
      <x:c r="D207" s="44" t="n">
        <x:v>10332</x:v>
      </x:c>
      <x:c r="E207" s="44" t="n">
        <x:v>21379</x:v>
      </x:c>
      <x:c r="F207" s="44" t="n">
        <x:v>2100</x:v>
      </x:c>
      <x:c r="G207" s="44" t="n">
        <x:v>981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43" t="n">
        <x:v>46040</x:v>
      </x:c>
      <x:c r="B208" s="44" t="n">
        <x:f>IF(COUNT(C208:D208)=2,SUM(C208:D208),"")</x:f>
        <x:v>126500</x:v>
      </x:c>
      <x:c r="C208" s="44" t="n">
        <x:v>117035</x:v>
      </x:c>
      <x:c r="D208" s="44" t="n">
        <x:v>9465</x:v>
      </x:c>
      <x:c r="E208" s="44" t="n">
        <x:v>21379</x:v>
      </x:c>
      <x:c r="F208" s="44" t="n">
        <x:v>2100</x:v>
      </x:c>
      <x:c r="G208" s="44" t="n">
        <x:v>934</x:v>
      </x:c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43" t="n">
        <x:v>46041</x:v>
      </x:c>
      <x:c r="B209" s="44" t="n">
        <x:f>IF(COUNT(C209:D209)=2,SUM(C209:D209),"")</x:f>
        <x:v>99640</x:v>
      </x:c>
      <x:c r="C209" s="44" t="n">
        <x:v>93471</x:v>
      </x:c>
      <x:c r="D209" s="44" t="n">
        <x:v>6169</x:v>
      </x:c>
      <x:c r="E209" s="44" t="n">
        <x:v>21379</x:v>
      </x:c>
      <x:c r="F209" s="44" t="n">
        <x:v>2100</x:v>
      </x:c>
      <x:c r="G209" s="44" t="n">
        <x:v>620</x:v>
      </x:c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43" t="n">
        <x:v>46042</x:v>
      </x:c>
      <x:c r="B210" s="44" t="n">
        <x:f>IF(COUNT(C210:D210)=2,SUM(C210:D210),"")</x:f>
        <x:v>124556</x:v>
      </x:c>
      <x:c r="C210" s="44" t="n">
        <x:v>117445</x:v>
      </x:c>
      <x:c r="D210" s="44" t="n">
        <x:v>7111</x:v>
      </x:c>
      <x:c r="E210" s="44" t="n">
        <x:v>21379</x:v>
      </x:c>
      <x:c r="F210" s="44" t="n">
        <x:v>2100</x:v>
      </x:c>
      <x:c r="G210" s="44" t="n">
        <x:v>610</x:v>
      </x:c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43" t="n">
        <x:v>46043</x:v>
      </x:c>
      <x:c r="B211" s="44" t="n">
        <x:f>IF(COUNT(C211:D211)=2,SUM(C211:D211),"")</x:f>
        <x:v>102506</x:v>
      </x:c>
      <x:c r="C211" s="44" t="n">
        <x:v>96558</x:v>
      </x:c>
      <x:c r="D211" s="44" t="n">
        <x:v>5948</x:v>
      </x:c>
      <x:c r="E211" s="44" t="n">
        <x:v>21379</x:v>
      </x:c>
      <x:c r="F211" s="44" t="n">
        <x:v>2100</x:v>
      </x:c>
      <x:c r="G211" s="44" t="n">
        <x:v>559</x:v>
      </x:c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43" t="n">
        <x:v>46044</x:v>
      </x:c>
      <x:c r="B212" s="44" t="n">
        <x:f>IF(COUNT(C212:D212)=2,SUM(C212:D212),"")</x:f>
        <x:v>72701</x:v>
      </x:c>
      <x:c r="C212" s="44" t="n">
        <x:v>68214</x:v>
      </x:c>
      <x:c r="D212" s="44" t="n">
        <x:v>4487</x:v>
      </x:c>
      <x:c r="E212" s="44" t="n">
        <x:v>21379</x:v>
      </x:c>
      <x:c r="F212" s="44" t="n">
        <x:v>2100</x:v>
      </x:c>
      <x:c r="G212" s="44" t="n">
        <x:v>426</x:v>
      </x:c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43" t="n">
        <x:v>46045</x:v>
      </x:c>
      <x:c r="B213" s="44" t="n">
        <x:f>IF(COUNT(C213:D213)=2,SUM(C213:D213),"")</x:f>
        <x:v>134451</x:v>
      </x:c>
      <x:c r="C213" s="44" t="n">
        <x:v>125503</x:v>
      </x:c>
      <x:c r="D213" s="44" t="n">
        <x:v>8948</x:v>
      </x:c>
      <x:c r="E213" s="44" t="n">
        <x:v>21379</x:v>
      </x:c>
      <x:c r="F213" s="44" t="n">
        <x:v>2100</x:v>
      </x:c>
      <x:c r="G213" s="44" t="n">
        <x:v>872</x:v>
      </x:c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43" t="n">
        <x:v>46046</x:v>
      </x:c>
      <x:c r="B214" s="44" t="n">
        <x:f>IF(COUNT(C214:D214)=2,SUM(C214:D214),"")</x:f>
        <x:v>112842</x:v>
      </x:c>
      <x:c r="C214" s="44" t="n">
        <x:v>104805</x:v>
      </x:c>
      <x:c r="D214" s="44" t="n">
        <x:v>8037</x:v>
      </x:c>
      <x:c r="E214" s="44" t="n">
        <x:v>21379</x:v>
      </x:c>
      <x:c r="F214" s="44" t="n">
        <x:v>2100</x:v>
      </x:c>
      <x:c r="G214" s="44" t="n">
        <x:v>771</x:v>
      </x:c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43" t="n">
        <x:v>46047</x:v>
      </x:c>
      <x:c r="B215" s="44" t="n">
        <x:f>IF(COUNT(C215:D215)=2,SUM(C215:D215),"")</x:f>
        <x:v>128656</x:v>
      </x:c>
      <x:c r="C215" s="44" t="n">
        <x:v>118546</x:v>
      </x:c>
      <x:c r="D215" s="44" t="n">
        <x:v>10110</x:v>
      </x:c>
      <x:c r="E215" s="44" t="n">
        <x:v>21379</x:v>
      </x:c>
      <x:c r="F215" s="44" t="n">
        <x:v>2100</x:v>
      </x:c>
      <x:c r="G215" s="44" t="n">
        <x:v>1101</x:v>
      </x:c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43" t="n">
        <x:v>46048</x:v>
      </x:c>
      <x:c r="B216" s="44" t="n">
        <x:f>IF(COUNT(C216:D216)=2,SUM(C216:D216),"")</x:f>
        <x:v>137618</x:v>
      </x:c>
      <x:c r="C216" s="44" t="n">
        <x:v>128184</x:v>
      </x:c>
      <x:c r="D216" s="44" t="n">
        <x:v>9434</x:v>
      </x:c>
      <x:c r="E216" s="44" t="n">
        <x:v>21379</x:v>
      </x:c>
      <x:c r="F216" s="44" t="n">
        <x:v>2100</x:v>
      </x:c>
      <x:c r="G216" s="44" t="n">
        <x:v>964</x:v>
      </x:c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43" t="n">
        <x:v>46049</x:v>
      </x:c>
      <x:c r="B217" s="44" t="n">
        <x:f>IF(COUNT(C217:D217)=2,SUM(C217:D217),"")</x:f>
        <x:v>98769</x:v>
      </x:c>
      <x:c r="C217" s="44" t="n">
        <x:v>92465</x:v>
      </x:c>
      <x:c r="D217" s="44" t="n">
        <x:v>6304</x:v>
      </x:c>
      <x:c r="E217" s="44" t="n">
        <x:v>21379</x:v>
      </x:c>
      <x:c r="F217" s="44" t="n">
        <x:v>2100</x:v>
      </x:c>
      <x:c r="G217" s="44" t="n">
        <x:v>733</x:v>
      </x:c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43" t="n">
        <x:v>46050</x:v>
      </x:c>
      <x:c r="B218" s="44" t="n">
        <x:f>IF(COUNT(C218:D218)=2,SUM(C218:D218),"")</x:f>
        <x:v>126136</x:v>
      </x:c>
      <x:c r="C218" s="44" t="n">
        <x:v>117985</x:v>
      </x:c>
      <x:c r="D218" s="44" t="n">
        <x:v>8151</x:v>
      </x:c>
      <x:c r="E218" s="44" t="n">
        <x:v>21379</x:v>
      </x:c>
      <x:c r="F218" s="44" t="n">
        <x:v>2100</x:v>
      </x:c>
      <x:c r="G218" s="44" t="n">
        <x:v>802</x:v>
      </x:c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43" t="n">
        <x:v>46051</x:v>
      </x:c>
      <x:c r="B219" s="44" t="n">
        <x:f>IF(COUNT(C219:D219)=2,SUM(C219:D219),"")</x:f>
        <x:v>141581</x:v>
      </x:c>
      <x:c r="C219" s="44" t="n">
        <x:v>131641</x:v>
      </x:c>
      <x:c r="D219" s="44" t="n">
        <x:v>9940</x:v>
      </x:c>
      <x:c r="E219" s="44" t="n">
        <x:v>21379</x:v>
      </x:c>
      <x:c r="F219" s="44" t="n">
        <x:v>2100</x:v>
      </x:c>
      <x:c r="G219" s="44" t="n">
        <x:v>1157</x:v>
      </x:c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43" t="n">
        <x:v>46052</x:v>
      </x:c>
      <x:c r="B220" s="44" t="n">
        <x:f>IF(COUNT(C220:D220)=2,SUM(C220:D220),"")</x:f>
        <x:v>148078</x:v>
      </x:c>
      <x:c r="C220" s="44" t="n">
        <x:v>137239</x:v>
      </x:c>
      <x:c r="D220" s="44" t="n">
        <x:v>10839</x:v>
      </x:c>
      <x:c r="E220" s="44" t="n">
        <x:v>21379</x:v>
      </x:c>
      <x:c r="F220" s="44" t="n">
        <x:v>2100</x:v>
      </x:c>
      <x:c r="G220" s="44" t="n">
        <x:v>1316</x:v>
      </x:c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43" t="n">
        <x:v>46053</x:v>
      </x:c>
      <x:c r="B221" s="44" t="n">
        <x:f>IF(COUNT(C221:D221)=2,SUM(C221:D221),"")</x:f>
        <x:v>73544</x:v>
      </x:c>
      <x:c r="C221" s="44" t="n">
        <x:v>68187</x:v>
      </x:c>
      <x:c r="D221" s="44" t="n">
        <x:v>5357</x:v>
      </x:c>
      <x:c r="E221" s="44" t="n">
        <x:v>21379</x:v>
      </x:c>
      <x:c r="F221" s="44" t="n">
        <x:v>2100</x:v>
      </x:c>
      <x:c r="G221" s="44" t="n">
        <x:v>827</x:v>
      </x:c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43" t="n">
        <x:v>46054</x:v>
      </x:c>
      <x:c r="B222" s="44" t="n">
        <x:f>IF(COUNT(C222:D222)=2,SUM(C222:D222),"")</x:f>
        <x:v>62578</x:v>
      </x:c>
      <x:c r="C222" s="44" t="n">
        <x:v>58442</x:v>
      </x:c>
      <x:c r="D222" s="44" t="n">
        <x:v>4136</x:v>
      </x:c>
      <x:c r="E222" s="44" t="n">
        <x:v>21379</x:v>
      </x:c>
      <x:c r="F222" s="44" t="n">
        <x:v>2100</x:v>
      </x:c>
      <x:c r="G222" s="44" t="n">
        <x:v>468</x:v>
      </x:c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43" t="n">
        <x:v>46055</x:v>
      </x:c>
      <x:c r="B223" s="44" t="n">
        <x:f>IF(COUNT(C223:D223)=2,SUM(C223:D223),"")</x:f>
        <x:v>101696</x:v>
      </x:c>
      <x:c r="C223" s="44" t="n">
        <x:v>95596</x:v>
      </x:c>
      <x:c r="D223" s="44" t="n">
        <x:v>6100</x:v>
      </x:c>
      <x:c r="E223" s="44" t="n">
        <x:v>21379</x:v>
      </x:c>
      <x:c r="F223" s="44" t="n">
        <x:v>2100</x:v>
      </x:c>
      <x:c r="G223" s="44" t="n">
        <x:v>587</x:v>
      </x:c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43" t="n">
        <x:v>46056</x:v>
      </x:c>
      <x:c r="B224" s="44" t="n">
        <x:f>IF(COUNT(C224:D224)=2,SUM(C224:D224),"")</x:f>
        <x:v>136843</x:v>
      </x:c>
      <x:c r="C224" s="44" t="n">
        <x:v>127711</x:v>
      </x:c>
      <x:c r="D224" s="44" t="n">
        <x:v>9132</x:v>
      </x:c>
      <x:c r="E224" s="44" t="n">
        <x:v>21379</x:v>
      </x:c>
      <x:c r="F224" s="44" t="n">
        <x:v>2100</x:v>
      </x:c>
      <x:c r="G224" s="44" t="n">
        <x:v>961</x:v>
      </x:c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43" t="n">
        <x:v>46057</x:v>
      </x:c>
      <x:c r="B225" s="44" t="n">
        <x:f>IF(COUNT(C225:D225)=2,SUM(C225:D225),"")</x:f>
        <x:v>143702</x:v>
      </x:c>
      <x:c r="C225" s="44" t="n">
        <x:v>133871</x:v>
      </x:c>
      <x:c r="D225" s="44" t="n">
        <x:v>9831</x:v>
      </x:c>
      <x:c r="E225" s="44" t="n">
        <x:v>21379</x:v>
      </x:c>
      <x:c r="F225" s="44" t="n">
        <x:v>2100</x:v>
      </x:c>
      <x:c r="G225" s="44" t="n">
        <x:v>961</x:v>
      </x:c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43" t="n">
        <x:v>46058</x:v>
      </x:c>
      <x:c r="B226" s="44" t="n">
        <x:f>IF(COUNT(C226:D226)=2,SUM(C226:D226),"")</x:f>
        <x:v>146442</x:v>
      </x:c>
      <x:c r="C226" s="44" t="n">
        <x:v>136249</x:v>
      </x:c>
      <x:c r="D226" s="44" t="n">
        <x:v>10193</x:v>
      </x:c>
      <x:c r="E226" s="44" t="n">
        <x:v>21379</x:v>
      </x:c>
      <x:c r="F226" s="44" t="n">
        <x:v>2100</x:v>
      </x:c>
      <x:c r="G226" s="44" t="n">
        <x:v>984</x:v>
      </x:c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43" t="n">
        <x:v>46059</x:v>
      </x:c>
      <x:c r="B227" s="44" t="n">
        <x:f>IF(COUNT(C227:D227)=2,SUM(C227:D227),"")</x:f>
        <x:v>122785</x:v>
      </x:c>
      <x:c r="C227" s="44" t="n">
        <x:v>113910</x:v>
      </x:c>
      <x:c r="D227" s="44" t="n">
        <x:v>8875</x:v>
      </x:c>
      <x:c r="E227" s="44" t="n">
        <x:v>21379</x:v>
      </x:c>
      <x:c r="F227" s="44" t="n">
        <x:v>2100</x:v>
      </x:c>
      <x:c r="G227" s="44" t="n">
        <x:v>844</x:v>
      </x:c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43" t="n">
        <x:v>46060</x:v>
      </x:c>
      <x:c r="B228" s="44" t="n">
        <x:f>IF(COUNT(C228:D228)=2,SUM(C228:D228),"")</x:f>
        <x:v>101814</x:v>
      </x:c>
      <x:c r="C228" s="44" t="n">
        <x:v>95091</x:v>
      </x:c>
      <x:c r="D228" s="44" t="n">
        <x:v>6723</x:v>
      </x:c>
      <x:c r="E228" s="44" t="n">
        <x:v>21379</x:v>
      </x:c>
      <x:c r="F228" s="44" t="n">
        <x:v>2100</x:v>
      </x:c>
      <x:c r="G228" s="44" t="n">
        <x:v>659</x:v>
      </x:c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43" t="n">
        <x:v>46061</x:v>
      </x:c>
      <x:c r="B229" s="44" t="n">
        <x:f>IF(COUNT(C229:D229)=2,SUM(C229:D229),"")</x:f>
        <x:v>93303</x:v>
      </x:c>
      <x:c r="C229" s="44" t="n">
        <x:v>86821</x:v>
      </x:c>
      <x:c r="D229" s="44" t="n">
        <x:v>6482</x:v>
      </x:c>
      <x:c r="E229" s="44" t="n">
        <x:v>21379</x:v>
      </x:c>
      <x:c r="F229" s="44" t="n">
        <x:v>2100</x:v>
      </x:c>
      <x:c r="G229" s="44" t="n">
        <x:v>612</x:v>
      </x:c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43" t="n">
        <x:v>46062</x:v>
      </x:c>
      <x:c r="B230" s="44" t="n">
        <x:f>IF(COUNT(C230:D230)=2,SUM(C230:D230),"")</x:f>
        <x:v>127015</x:v>
      </x:c>
      <x:c r="C230" s="44" t="n">
        <x:v>118662</x:v>
      </x:c>
      <x:c r="D230" s="44" t="n">
        <x:v>8353</x:v>
      </x:c>
      <x:c r="E230" s="44" t="n">
        <x:v>21379</x:v>
      </x:c>
      <x:c r="F230" s="44" t="n">
        <x:v>2100</x:v>
      </x:c>
      <x:c r="G230" s="44" t="n">
        <x:v>845</x:v>
      </x:c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43" t="n">
        <x:v>46063</x:v>
      </x:c>
      <x:c r="B231" s="44" t="n">
        <x:f>IF(COUNT(C231:D231)=2,SUM(C231:D231),"")</x:f>
        <x:v>142456</x:v>
      </x:c>
      <x:c r="C231" s="44" t="n">
        <x:v>132943</x:v>
      </x:c>
      <x:c r="D231" s="44" t="n">
        <x:v>9513</x:v>
      </x:c>
      <x:c r="E231" s="44" t="n">
        <x:v>21379</x:v>
      </x:c>
      <x:c r="F231" s="44" t="n">
        <x:v>2100</x:v>
      </x:c>
      <x:c r="G231" s="44" t="n">
        <x:v>982</x:v>
      </x:c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43" t="n">
        <x:v>46064</x:v>
      </x:c>
      <x:c r="B232" s="44" t="n">
        <x:f>IF(COUNT(C232:D232)=2,SUM(C232:D232),"")</x:f>
        <x:v>132915</x:v>
      </x:c>
      <x:c r="C232" s="44" t="n">
        <x:v>124445</x:v>
      </x:c>
      <x:c r="D232" s="44" t="n">
        <x:v>8470</x:v>
      </x:c>
      <x:c r="E232" s="44" t="n">
        <x:v>21379</x:v>
      </x:c>
      <x:c r="F232" s="44" t="n">
        <x:v>2100</x:v>
      </x:c>
      <x:c r="G232" s="44" t="n">
        <x:v>811</x:v>
      </x:c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43" t="n">
        <x:v>46065</x:v>
      </x:c>
      <x:c r="B233" s="44" t="n">
        <x:f>IF(COUNT(C233:D233)=2,SUM(C233:D233),"")</x:f>
        <x:v>143042</x:v>
      </x:c>
      <x:c r="C233" s="44" t="n">
        <x:v>133403</x:v>
      </x:c>
      <x:c r="D233" s="44" t="n">
        <x:v>9639</x:v>
      </x:c>
      <x:c r="E233" s="44" t="n">
        <x:v>21379</x:v>
      </x:c>
      <x:c r="F233" s="44" t="n">
        <x:v>2100</x:v>
      </x:c>
      <x:c r="G233" s="44" t="n">
        <x:v>938</x:v>
      </x:c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43" t="n">
        <x:v>46066</x:v>
      </x:c>
      <x:c r="B234" s="44" t="n">
        <x:f>IF(COUNT(C234:D234)=2,SUM(C234:D234),"")</x:f>
        <x:v>147824</x:v>
      </x:c>
      <x:c r="C234" s="44" t="n">
        <x:v>137738</x:v>
      </x:c>
      <x:c r="D234" s="44" t="n">
        <x:v>10086</x:v>
      </x:c>
      <x:c r="E234" s="44" t="n">
        <x:v>21379</x:v>
      </x:c>
      <x:c r="F234" s="44" t="n">
        <x:v>2100</x:v>
      </x:c>
      <x:c r="G234" s="44" t="n">
        <x:v>980</x:v>
      </x:c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43" t="n">
        <x:v>46067</x:v>
      </x:c>
      <x:c r="B235" s="44" t="n">
        <x:f>IF(COUNT(C235:D235)=2,SUM(C235:D235),"")</x:f>
        <x:v>121122</x:v>
      </x:c>
      <x:c r="C235" s="44" t="n">
        <x:v>112022</x:v>
      </x:c>
      <x:c r="D235" s="44" t="n">
        <x:v>9100</x:v>
      </x:c>
      <x:c r="E235" s="44" t="n">
        <x:v>21379</x:v>
      </x:c>
      <x:c r="F235" s="44" t="n">
        <x:v>2100</x:v>
      </x:c>
      <x:c r="G235" s="44" t="n">
        <x:v>926</x:v>
      </x:c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43" t="n">
        <x:v>46068</x:v>
      </x:c>
      <x:c r="B236" s="44" t="n">
        <x:f>IF(COUNT(C236:D236)=2,SUM(C236:D236),"")</x:f>
        <x:v>107855</x:v>
      </x:c>
      <x:c r="C236" s="44" t="n">
        <x:v>99177</x:v>
      </x:c>
      <x:c r="D236" s="44" t="n">
        <x:v>8678</x:v>
      </x:c>
      <x:c r="E236" s="44" t="n">
        <x:v>21379</x:v>
      </x:c>
      <x:c r="F236" s="44" t="n">
        <x:v>2100</x:v>
      </x:c>
      <x:c r="G236" s="44" t="n">
        <x:v>921</x:v>
      </x:c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43" t="n">
        <x:v>46069</x:v>
      </x:c>
      <x:c r="B237" s="44" t="n">
        <x:f>IF(COUNT(C237:D237)=2,SUM(C237:D237),"")</x:f>
        <x:v>74311</x:v>
      </x:c>
      <x:c r="C237" s="44" t="n">
        <x:v>67646</x:v>
      </x:c>
      <x:c r="D237" s="44" t="n">
        <x:v>6665</x:v>
      </x:c>
      <x:c r="E237" s="44" t="n">
        <x:v>21379</x:v>
      </x:c>
      <x:c r="F237" s="44" t="n">
        <x:v>2100</x:v>
      </x:c>
      <x:c r="G237" s="44" t="n">
        <x:v>697</x:v>
      </x:c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43" t="n">
        <x:v>46070</x:v>
      </x:c>
      <x:c r="B238" s="44" t="n">
        <x:f>IF(COUNT(C238:D238)=2,SUM(C238:D238),"")</x:f>
        <x:v>65976</x:v>
      </x:c>
      <x:c r="C238" s="44" t="n">
        <x:v>59821</x:v>
      </x:c>
      <x:c r="D238" s="44" t="n">
        <x:v>6155</x:v>
      </x:c>
      <x:c r="E238" s="44" t="n">
        <x:v>21379</x:v>
      </x:c>
      <x:c r="F238" s="44" t="n">
        <x:v>2100</x:v>
      </x:c>
      <x:c r="G238" s="44" t="n">
        <x:v>609</x:v>
      </x:c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43" t="n">
        <x:v>46071</x:v>
      </x:c>
      <x:c r="B239" s="44" t="n">
        <x:f>IF(COUNT(C239:D239)=2,SUM(C239:D239),"")</x:f>
        <x:v>73869</x:v>
      </x:c>
      <x:c r="C239" s="44" t="n">
        <x:v>67197</x:v>
      </x:c>
      <x:c r="D239" s="44" t="n">
        <x:v>6672</x:v>
      </x:c>
      <x:c r="E239" s="44" t="n">
        <x:v>21379</x:v>
      </x:c>
      <x:c r="F239" s="44" t="n">
        <x:v>2100</x:v>
      </x:c>
      <x:c r="G239" s="44" t="n">
        <x:v>695</x:v>
      </x:c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43" t="n">
        <x:v>46072</x:v>
      </x:c>
      <x:c r="B240" s="44" t="n">
        <x:f>IF(COUNT(C240:D240)=2,SUM(C240:D240),"")</x:f>
        <x:v>91779</x:v>
      </x:c>
      <x:c r="C240" s="44" t="n">
        <x:v>83036</x:v>
      </x:c>
      <x:c r="D240" s="44" t="n">
        <x:v>8743</x:v>
      </x:c>
      <x:c r="E240" s="44" t="n">
        <x:v>21379</x:v>
      </x:c>
      <x:c r="F240" s="44" t="n">
        <x:v>2100</x:v>
      </x:c>
      <x:c r="G240" s="44" t="n">
        <x:v>875</x:v>
      </x:c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43" t="n">
        <x:v>46073</x:v>
      </x:c>
      <x:c r="B241" s="44" t="n">
        <x:f>IF(COUNT(C241:D241)=2,SUM(C241:D241),"")</x:f>
        <x:v>98140</x:v>
      </x:c>
      <x:c r="C241" s="44" t="n">
        <x:v>89740</x:v>
      </x:c>
      <x:c r="D241" s="44" t="n">
        <x:v>8400</x:v>
      </x:c>
      <x:c r="E241" s="44" t="n">
        <x:v>21379</x:v>
      </x:c>
      <x:c r="F241" s="44" t="n">
        <x:v>2100</x:v>
      </x:c>
      <x:c r="G241" s="44" t="n">
        <x:v>790</x:v>
      </x:c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43" t="n">
        <x:v>46074</x:v>
      </x:c>
      <x:c r="B242" s="44" t="n">
        <x:f>IF(COUNT(C242:D242)=2,SUM(C242:D242),"")</x:f>
        <x:v>125340</x:v>
      </x:c>
      <x:c r="C242" s="44" t="n">
        <x:v>114252</x:v>
      </x:c>
      <x:c r="D242" s="44" t="n">
        <x:v>11088</x:v>
      </x:c>
      <x:c r="E242" s="44" t="n">
        <x:v>21379</x:v>
      </x:c>
      <x:c r="F242" s="44" t="n">
        <x:v>2100</x:v>
      </x:c>
      <x:c r="G242" s="44" t="n">
        <x:v>1104</x:v>
      </x:c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43" t="n">
        <x:v>46075</x:v>
      </x:c>
      <x:c r="B243" s="44" t="n">
        <x:f>IF(COUNT(C243:D243)=2,SUM(C243:D243),"")</x:f>
        <x:v>127047</x:v>
      </x:c>
      <x:c r="C243" s="44" t="n">
        <x:v>116359</x:v>
      </x:c>
      <x:c r="D243" s="44" t="n">
        <x:v>10688</x:v>
      </x:c>
      <x:c r="E243" s="44" t="n">
        <x:v>21379</x:v>
      </x:c>
      <x:c r="F243" s="44" t="n">
        <x:v>2100</x:v>
      </x:c>
      <x:c r="G243" s="44" t="n">
        <x:v>1086</x:v>
      </x:c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43" t="n">
        <x:v>46076</x:v>
      </x:c>
      <x:c r="B244" s="44" t="n">
        <x:f>IF(COUNT(C244:D244)=2,SUM(C244:D244),"")</x:f>
        <x:v>137894</x:v>
      </x:c>
      <x:c r="C244" s="44" t="n">
        <x:v>127754</x:v>
      </x:c>
      <x:c r="D244" s="44" t="n">
        <x:v>10140</x:v>
      </x:c>
      <x:c r="E244" s="44" t="n">
        <x:v>21379</x:v>
      </x:c>
      <x:c r="F244" s="44" t="n">
        <x:v>2100</x:v>
      </x:c>
      <x:c r="G244" s="44" t="n">
        <x:v>1107</x:v>
      </x:c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43" t="n">
        <x:v>46077</x:v>
      </x:c>
      <x:c r="B245" s="44" t="n">
        <x:f>IF(COUNT(C245:D245)=2,SUM(C245:D245),"")</x:f>
        <x:v>135448</x:v>
      </x:c>
      <x:c r="C245" s="44" t="n">
        <x:v>125613</x:v>
      </x:c>
      <x:c r="D245" s="44" t="n">
        <x:v>9835</x:v>
      </x:c>
      <x:c r="E245" s="44" t="n">
        <x:v>21379</x:v>
      </x:c>
      <x:c r="F245" s="44" t="n">
        <x:v>2100</x:v>
      </x:c>
      <x:c r="G245" s="44" t="n">
        <x:v>1214</x:v>
      </x:c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43" t="n">
        <x:v>46078</x:v>
      </x:c>
      <x:c r="B246" s="44" t="n">
        <x:f>IF(COUNT(C246:D246)=2,SUM(C246:D246),"")</x:f>
        <x:v>113796</x:v>
      </x:c>
      <x:c r="C246" s="44" t="n">
        <x:v>105980</x:v>
      </x:c>
      <x:c r="D246" s="44" t="n">
        <x:v>7816</x:v>
      </x:c>
      <x:c r="E246" s="44" t="n">
        <x:v>21379</x:v>
      </x:c>
      <x:c r="F246" s="44" t="n">
        <x:v>2100</x:v>
      </x:c>
      <x:c r="G246" s="44" t="n">
        <x:v>920</x:v>
      </x:c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43" t="n">
        <x:v>46079</x:v>
      </x:c>
      <x:c r="B247" s="44" t="n">
        <x:f>IF(COUNT(C247:D247)=2,SUM(C247:D247),"")</x:f>
        <x:v>147789</x:v>
      </x:c>
      <x:c r="C247" s="44" t="n">
        <x:v>136304</x:v>
      </x:c>
      <x:c r="D247" s="44" t="n">
        <x:v>11485</x:v>
      </x:c>
      <x:c r="E247" s="44" t="n">
        <x:v>21379</x:v>
      </x:c>
      <x:c r="F247" s="44" t="n">
        <x:v>2100</x:v>
      </x:c>
      <x:c r="G247" s="44" t="n">
        <x:v>1417</x:v>
      </x:c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43" t="n">
        <x:v>46080</x:v>
      </x:c>
      <x:c r="B248" s="44" t="n">
        <x:f>IF(COUNT(C248:D248)=2,SUM(C248:D248),"")</x:f>
        <x:v>112221</x:v>
      </x:c>
      <x:c r="C248" s="44" t="n">
        <x:v>103309</x:v>
      </x:c>
      <x:c r="D248" s="44" t="n">
        <x:v>8912</x:v>
      </x:c>
      <x:c r="E248" s="44" t="n">
        <x:v>21379</x:v>
      </x:c>
      <x:c r="F248" s="44" t="n">
        <x:v>2100</x:v>
      </x:c>
      <x:c r="G248" s="44" t="n">
        <x:v>1095</x:v>
      </x:c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43" t="n">
        <x:v>46081</x:v>
      </x:c>
      <x:c r="B249" s="44" t="n">
        <x:f>IF(COUNT(C249:D249)=2,SUM(C249:D249),"")</x:f>
        <x:v>120505</x:v>
      </x:c>
      <x:c r="C249" s="44" t="n">
        <x:v>110676</x:v>
      </x:c>
      <x:c r="D249" s="44" t="n">
        <x:v>9829</x:v>
      </x:c>
      <x:c r="E249" s="44" t="n">
        <x:v>21379</x:v>
      </x:c>
      <x:c r="F249" s="44" t="n">
        <x:v>2100</x:v>
      </x:c>
      <x:c r="G249" s="44" t="n">
        <x:v>1439</x:v>
      </x:c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43" t="n">
        <x:v>46082</x:v>
      </x:c>
      <x:c r="B250" s="44" t="n">
        <x:f>IF(COUNT(C250:D250)=2,SUM(C250:D250),"")</x:f>
        <x:v>117891</x:v>
      </x:c>
      <x:c r="C250" s="44" t="n">
        <x:v>109164</x:v>
      </x:c>
      <x:c r="D250" s="44" t="n">
        <x:v>8727</x:v>
      </x:c>
      <x:c r="E250" s="44" t="n">
        <x:v>21379</x:v>
      </x:c>
      <x:c r="F250" s="44" t="n">
        <x:v>2100</x:v>
      </x:c>
      <x:c r="G250" s="44" t="n">
        <x:v>826</x:v>
      </x:c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43" t="n">
        <x:v>46083</x:v>
      </x:c>
      <x:c r="B251" s="44" t="n">
        <x:f>IF(COUNT(C251:D251)=2,SUM(C251:D251),"")</x:f>
        <x:v>132528</x:v>
      </x:c>
      <x:c r="C251" s="44" t="n">
        <x:v>123262</x:v>
      </x:c>
      <x:c r="D251" s="44" t="n">
        <x:v>9266</x:v>
      </x:c>
      <x:c r="E251" s="44" t="n">
        <x:v>21379</x:v>
      </x:c>
      <x:c r="F251" s="44" t="n">
        <x:v>2100</x:v>
      </x:c>
      <x:c r="G251" s="44" t="n">
        <x:v>995</x:v>
      </x:c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43" t="n">
        <x:v>46084</x:v>
      </x:c>
      <x:c r="B252" s="44" t="n">
        <x:f>IF(COUNT(C252:D252)=2,SUM(C252:D252),"")</x:f>
        <x:v>99678</x:v>
      </x:c>
      <x:c r="C252" s="44" t="n">
        <x:v>93142</x:v>
      </x:c>
      <x:c r="D252" s="44" t="n">
        <x:v>6536</x:v>
      </x:c>
      <x:c r="E252" s="44" t="n">
        <x:v>21379</x:v>
      </x:c>
      <x:c r="F252" s="44" t="n">
        <x:v>2100</x:v>
      </x:c>
      <x:c r="G252" s="44" t="n">
        <x:v>551</x:v>
      </x:c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43" t="n">
        <x:v>46085</x:v>
      </x:c>
      <x:c r="B253" s="44" t="n">
        <x:f>IF(COUNT(C253:D253)=2,SUM(C253:D253),"")</x:f>
        <x:v>90802</x:v>
      </x:c>
      <x:c r="C253" s="44" t="n">
        <x:v>84900</x:v>
      </x:c>
      <x:c r="D253" s="44" t="n">
        <x:v>5902</x:v>
      </x:c>
      <x:c r="E253" s="44" t="n">
        <x:v>21379</x:v>
      </x:c>
      <x:c r="F253" s="44" t="n">
        <x:v>2100</x:v>
      </x:c>
      <x:c r="G253" s="44" t="n">
        <x:v>544</x:v>
      </x:c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43" t="n">
        <x:v>46086</x:v>
      </x:c>
      <x:c r="B254" s="44" t="n">
        <x:f>IF(COUNT(C254:D254)=2,SUM(C254:D254),"")</x:f>
        <x:v>112985</x:v>
      </x:c>
      <x:c r="C254" s="44" t="n">
        <x:v>105687</x:v>
      </x:c>
      <x:c r="D254" s="44" t="n">
        <x:v>7298</x:v>
      </x:c>
      <x:c r="E254" s="44" t="n">
        <x:v>21379</x:v>
      </x:c>
      <x:c r="F254" s="44" t="n">
        <x:v>2100</x:v>
      </x:c>
      <x:c r="G254" s="44" t="n">
        <x:v>740</x:v>
      </x:c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43" t="n">
        <x:v>46087</x:v>
      </x:c>
      <x:c r="B255" s="44" t="n">
        <x:f>IF(COUNT(C255:D255)=2,SUM(C255:D255),"")</x:f>
        <x:v>129410</x:v>
      </x:c>
      <x:c r="C255" s="44" t="n">
        <x:v>120868</x:v>
      </x:c>
      <x:c r="D255" s="44" t="n">
        <x:v>8542</x:v>
      </x:c>
      <x:c r="E255" s="44" t="n">
        <x:v>21379</x:v>
      </x:c>
      <x:c r="F255" s="44" t="n">
        <x:v>2100</x:v>
      </x:c>
      <x:c r="G255" s="44" t="n">
        <x:v>765</x:v>
      </x:c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43" t="n">
        <x:v>46088</x:v>
      </x:c>
      <x:c r="B256" s="44" t="n">
        <x:f>IF(COUNT(C256:D256)=2,SUM(C256:D256),"")</x:f>
        <x:v>132601</x:v>
      </x:c>
      <x:c r="C256" s="44" t="n">
        <x:v>122381</x:v>
      </x:c>
      <x:c r="D256" s="44" t="n">
        <x:v>10220</x:v>
      </x:c>
      <x:c r="E256" s="44" t="n">
        <x:v>21379</x:v>
      </x:c>
      <x:c r="F256" s="44" t="n">
        <x:v>2100</x:v>
      </x:c>
      <x:c r="G256" s="44" t="n">
        <x:v>939</x:v>
      </x:c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43" t="n">
        <x:v>46089</x:v>
      </x:c>
      <x:c r="B257" s="44" t="n">
        <x:f>IF(COUNT(C257:D257)=2,SUM(C257:D257),"")</x:f>
        <x:v>118975</x:v>
      </x:c>
      <x:c r="C257" s="44" t="n">
        <x:v>109870</x:v>
      </x:c>
      <x:c r="D257" s="44" t="n">
        <x:v>9105</x:v>
      </x:c>
      <x:c r="E257" s="44" t="n">
        <x:v>21379</x:v>
      </x:c>
      <x:c r="F257" s="44" t="n">
        <x:v>2100</x:v>
      </x:c>
      <x:c r="G257" s="44" t="n">
        <x:v>945</x:v>
      </x:c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43" t="n">
        <x:v>46090</x:v>
      </x:c>
      <x:c r="B258" s="44" t="n">
        <x:f>IF(COUNT(C258:D258)=2,SUM(C258:D258),"")</x:f>
        <x:v>110675</x:v>
      </x:c>
      <x:c r="C258" s="44" t="n">
        <x:v>103353</x:v>
      </x:c>
      <x:c r="D258" s="44" t="n">
        <x:v>7322</x:v>
      </x:c>
      <x:c r="E258" s="44" t="n">
        <x:v>21379</x:v>
      </x:c>
      <x:c r="F258" s="44" t="n">
        <x:v>2100</x:v>
      </x:c>
      <x:c r="G258" s="44" t="n">
        <x:v>682</x:v>
      </x:c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43" t="n">
        <x:v>46091</x:v>
      </x:c>
      <x:c r="B259" s="44" t="n">
        <x:f>IF(COUNT(C259:D259)=2,SUM(C259:D259),"")</x:f>
        <x:v>80749</x:v>
      </x:c>
      <x:c r="C259" s="44" t="n">
        <x:v>75239</x:v>
      </x:c>
      <x:c r="D259" s="44" t="n">
        <x:v>5510</x:v>
      </x:c>
      <x:c r="E259" s="44" t="n">
        <x:v>21379</x:v>
      </x:c>
      <x:c r="F259" s="44" t="n">
        <x:v>2100</x:v>
      </x:c>
      <x:c r="G259" s="44" t="n">
        <x:v>451</x:v>
      </x:c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43" t="n">
        <x:v>46092</x:v>
      </x:c>
      <x:c r="B260" s="44" t="n">
        <x:f>IF(COUNT(C260:D260)=2,SUM(C260:D260),"")</x:f>
        <x:v>145273</x:v>
      </x:c>
      <x:c r="C260" s="44" t="n">
        <x:v>134522</x:v>
      </x:c>
      <x:c r="D260" s="44" t="n">
        <x:v>10751</x:v>
      </x:c>
      <x:c r="E260" s="44" t="n">
        <x:v>21379</x:v>
      </x:c>
      <x:c r="F260" s="44" t="n">
        <x:v>2100</x:v>
      </x:c>
      <x:c r="G260" s="44" t="n">
        <x:v>1150</x:v>
      </x:c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43" t="n">
        <x:v>46093</x:v>
      </x:c>
      <x:c r="B261" s="44" t="n">
        <x:f>IF(COUNT(C261:D261)=2,SUM(C261:D261),"")</x:f>
        <x:v>141427</x:v>
      </x:c>
      <x:c r="C261" s="44" t="n">
        <x:v>131837</x:v>
      </x:c>
      <x:c r="D261" s="44" t="n">
        <x:v>9590</x:v>
      </x:c>
      <x:c r="E261" s="44" t="n">
        <x:v>21379</x:v>
      </x:c>
      <x:c r="F261" s="44" t="n">
        <x:v>2100</x:v>
      </x:c>
      <x:c r="G261" s="44" t="n">
        <x:v>951</x:v>
      </x:c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43" t="n">
        <x:v>46094</x:v>
      </x:c>
      <x:c r="B262" s="44" t="n">
        <x:f>IF(COUNT(C262:D262)=2,SUM(C262:D262),"")</x:f>
        <x:v>148029</x:v>
      </x:c>
      <x:c r="C262" s="44" t="n">
        <x:v>138835</x:v>
      </x:c>
      <x:c r="D262" s="44" t="n">
        <x:v>9194</x:v>
      </x:c>
      <x:c r="E262" s="44" t="n">
        <x:v>21379</x:v>
      </x:c>
      <x:c r="F262" s="44" t="n">
        <x:v>2100</x:v>
      </x:c>
      <x:c r="G262" s="44" t="n">
        <x:v>882</x:v>
      </x:c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43" t="n">
        <x:v>46095</x:v>
      </x:c>
      <x:c r="B263" s="44" t="n">
        <x:f>IF(COUNT(C263:D263)=2,SUM(C263:D263),"")</x:f>
        <x:v>148729</x:v>
      </x:c>
      <x:c r="C263" s="44" t="n">
        <x:v>138123</x:v>
      </x:c>
      <x:c r="D263" s="44" t="n">
        <x:v>10606</x:v>
      </x:c>
      <x:c r="E263" s="44" t="n">
        <x:v>21379</x:v>
      </x:c>
      <x:c r="F263" s="44" t="n">
        <x:v>2100</x:v>
      </x:c>
      <x:c r="G263" s="44" t="n">
        <x:v>990</x:v>
      </x:c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43" t="n">
        <x:v>46096</x:v>
      </x:c>
      <x:c r="B264" s="44" t="n">
        <x:f>IF(COUNT(C264:D264)=2,SUM(C264:D264),"")</x:f>
        <x:v>142610</x:v>
      </x:c>
      <x:c r="C264" s="44" t="n">
        <x:v>132463</x:v>
      </x:c>
      <x:c r="D264" s="44" t="n">
        <x:v>10147</x:v>
      </x:c>
      <x:c r="E264" s="44" t="n">
        <x:v>21379</x:v>
      </x:c>
      <x:c r="F264" s="44" t="n">
        <x:v>2100</x:v>
      </x:c>
      <x:c r="G264" s="44" t="n">
        <x:v>989</x:v>
      </x:c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43" t="n">
        <x:v>46097</x:v>
      </x:c>
      <x:c r="B265" s="44" t="n">
        <x:f>IF(COUNT(C265:D265)=2,SUM(C265:D265),"")</x:f>
        <x:v>142746</x:v>
      </x:c>
      <x:c r="C265" s="44" t="n">
        <x:v>133968</x:v>
      </x:c>
      <x:c r="D265" s="44" t="n">
        <x:v>8778</x:v>
      </x:c>
      <x:c r="E265" s="44" t="n">
        <x:v>21379</x:v>
      </x:c>
      <x:c r="F265" s="44" t="n">
        <x:v>2100</x:v>
      </x:c>
      <x:c r="G265" s="44" t="n">
        <x:v>866</x:v>
      </x:c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43" t="n">
        <x:v>46098</x:v>
      </x:c>
      <x:c r="B266" s="44" t="n">
        <x:f>IF(COUNT(C266:D266)=2,SUM(C266:D266),"")</x:f>
        <x:v>147015</x:v>
      </x:c>
      <x:c r="C266" s="44" t="n">
        <x:v>137647</x:v>
      </x:c>
      <x:c r="D266" s="44" t="n">
        <x:v>9368</x:v>
      </x:c>
      <x:c r="E266" s="44" t="n">
        <x:v>21379</x:v>
      </x:c>
      <x:c r="F266" s="44" t="n">
        <x:v>2100</x:v>
      </x:c>
      <x:c r="G266" s="44" t="n">
        <x:v>929</x:v>
      </x:c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43" t="n">
        <x:v>46099</x:v>
      </x:c>
      <x:c r="B267" s="44" t="n">
        <x:f>IF(COUNT(C267:D267)=2,SUM(C267:D267),"")</x:f>
        <x:v>150467</x:v>
      </x:c>
      <x:c r="C267" s="44" t="n">
        <x:v>140864</x:v>
      </x:c>
      <x:c r="D267" s="44" t="n">
        <x:v>9603</x:v>
      </x:c>
      <x:c r="E267" s="44" t="n">
        <x:v>21379</x:v>
      </x:c>
      <x:c r="F267" s="44" t="n">
        <x:v>2100</x:v>
      </x:c>
      <x:c r="G267" s="44" t="n">
        <x:v>977</x:v>
      </x:c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43" t="n">
        <x:v>46100</x:v>
      </x:c>
      <x:c r="B268" s="44" t="n">
        <x:f>IF(COUNT(C268:D268)=2,SUM(C268:D268),"")</x:f>
        <x:v>142241</x:v>
      </x:c>
      <x:c r="C268" s="44" t="n">
        <x:v>133147</x:v>
      </x:c>
      <x:c r="D268" s="44" t="n">
        <x:v>9094</x:v>
      </x:c>
      <x:c r="E268" s="44" t="n">
        <x:v>21379</x:v>
      </x:c>
      <x:c r="F268" s="44" t="n">
        <x:v>2100</x:v>
      </x:c>
      <x:c r="G268" s="44" t="n">
        <x:v>940</x:v>
      </x:c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43" t="n">
        <x:v>46101</x:v>
      </x:c>
      <x:c r="B269" s="44" t="n">
        <x:f>IF(COUNT(C269:D269)=2,SUM(C269:D269),"")</x:f>
        <x:v>157164</x:v>
      </x:c>
      <x:c r="C269" s="44" t="n">
        <x:v>146681</x:v>
      </x:c>
      <x:c r="D269" s="44" t="n">
        <x:v>10483</x:v>
      </x:c>
      <x:c r="E269" s="44" t="n">
        <x:v>21379</x:v>
      </x:c>
      <x:c r="F269" s="44" t="n">
        <x:v>2100</x:v>
      </x:c>
      <x:c r="G269" s="44" t="n">
        <x:v>1061</x:v>
      </x:c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43" t="n">
        <x:v>46102</x:v>
      </x:c>
      <x:c r="B270" s="44" t="n">
        <x:f>IF(COUNT(C270:D270)=2,SUM(C270:D270),"")</x:f>
        <x:v>145334</x:v>
      </x:c>
      <x:c r="C270" s="44" t="n">
        <x:v>134798</x:v>
      </x:c>
      <x:c r="D270" s="44" t="n">
        <x:v>10536</x:v>
      </x:c>
      <x:c r="E270" s="44" t="n">
        <x:v>21379</x:v>
      </x:c>
      <x:c r="F270" s="44" t="n">
        <x:v>2100</x:v>
      </x:c>
      <x:c r="G270" s="44" t="n">
        <x:v>980</x:v>
      </x:c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43" t="n">
        <x:v>46103</x:v>
      </x:c>
      <x:c r="B271" s="44" t="n">
        <x:f>IF(COUNT(C271:D271)=2,SUM(C271:D271),"")</x:f>
        <x:v>140139</x:v>
      </x:c>
      <x:c r="C271" s="44" t="n">
        <x:v>129289</x:v>
      </x:c>
      <x:c r="D271" s="44" t="n">
        <x:v>10850</x:v>
      </x:c>
      <x:c r="E271" s="44" t="n">
        <x:v>21379</x:v>
      </x:c>
      <x:c r="F271" s="44" t="n">
        <x:v>2100</x:v>
      </x:c>
      <x:c r="G271" s="44" t="n">
        <x:v>1071</x:v>
      </x:c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43" t="n">
        <x:v>46104</x:v>
      </x:c>
      <x:c r="B272" s="44" t="n">
        <x:f>IF(COUNT(C272:D272)=2,SUM(C272:D272),"")</x:f>
        <x:v>142205</x:v>
      </x:c>
      <x:c r="C272" s="44" t="n">
        <x:v>132753</x:v>
      </x:c>
      <x:c r="D272" s="44" t="n">
        <x:v>9452</x:v>
      </x:c>
      <x:c r="E272" s="44" t="n">
        <x:v>21379</x:v>
      </x:c>
      <x:c r="F272" s="44" t="n">
        <x:v>2100</x:v>
      </x:c>
      <x:c r="G272" s="44" t="n">
        <x:v>969</x:v>
      </x:c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43" t="n">
        <x:v>46105</x:v>
      </x:c>
      <x:c r="B273" s="44" t="n">
        <x:f>IF(COUNT(C273:D273)=2,SUM(C273:D273),"")</x:f>
        <x:v>147293</x:v>
      </x:c>
      <x:c r="C273" s="44" t="n">
        <x:v>137307</x:v>
      </x:c>
      <x:c r="D273" s="44" t="n">
        <x:v>9986</x:v>
      </x:c>
      <x:c r="E273" s="44" t="n">
        <x:v>21379</x:v>
      </x:c>
      <x:c r="F273" s="44" t="n">
        <x:v>2100</x:v>
      </x:c>
      <x:c r="G273" s="44" t="n">
        <x:v>1093</x:v>
      </x:c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43" t="n">
        <x:v>46106</x:v>
      </x:c>
      <x:c r="B274" s="44" t="n">
        <x:f>IF(COUNT(C274:D274)=2,SUM(C274:D274),"")</x:f>
        <x:v>150904</x:v>
      </x:c>
      <x:c r="C274" s="44" t="n">
        <x:v>140776</x:v>
      </x:c>
      <x:c r="D274" s="44" t="n">
        <x:v>10128</x:v>
      </x:c>
      <x:c r="E274" s="44" t="n">
        <x:v>21379</x:v>
      </x:c>
      <x:c r="F274" s="44" t="n">
        <x:v>2100</x:v>
      </x:c>
      <x:c r="G274" s="44" t="n">
        <x:v>1088</x:v>
      </x:c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43" t="n">
        <x:v>46107</x:v>
      </x:c>
      <x:c r="B275" s="44" t="n">
        <x:f>IF(COUNT(C275:D275)=2,SUM(C275:D275),"")</x:f>
        <x:v>139795</x:v>
      </x:c>
      <x:c r="C275" s="44" t="n">
        <x:v>130458</x:v>
      </x:c>
      <x:c r="D275" s="44" t="n">
        <x:v>9337</x:v>
      </x:c>
      <x:c r="E275" s="44" t="n">
        <x:v>21379</x:v>
      </x:c>
      <x:c r="F275" s="44" t="n">
        <x:v>2100</x:v>
      </x:c>
      <x:c r="G275" s="44" t="n">
        <x:v>1038</x:v>
      </x:c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43" t="n">
        <x:v>46108</x:v>
      </x:c>
      <x:c r="B276" s="44" t="n">
        <x:f>IF(COUNT(C276:D276)=2,SUM(C276:D276),"")</x:f>
        <x:v>109923</x:v>
      </x:c>
      <x:c r="C276" s="44" t="n">
        <x:v>102979</x:v>
      </x:c>
      <x:c r="D276" s="44" t="n">
        <x:v>6944</x:v>
      </x:c>
      <x:c r="E276" s="44" t="n">
        <x:v>21379</x:v>
      </x:c>
      <x:c r="F276" s="44" t="n">
        <x:v>2100</x:v>
      </x:c>
      <x:c r="G276" s="44" t="n">
        <x:v>540</x:v>
      </x:c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43" t="n">
        <x:v>46109</x:v>
      </x:c>
      <x:c r="B277" s="44" t="n">
        <x:f>IF(COUNT(C277:D277)=2,SUM(C277:D277),"")</x:f>
        <x:v>148632</x:v>
      </x:c>
      <x:c r="C277" s="44" t="n">
        <x:v>137970</x:v>
      </x:c>
      <x:c r="D277" s="44" t="n">
        <x:v>10662</x:v>
      </x:c>
      <x:c r="E277" s="44" t="n">
        <x:v>21379</x:v>
      </x:c>
      <x:c r="F277" s="44" t="n">
        <x:v>2100</x:v>
      </x:c>
      <x:c r="G277" s="44" t="n">
        <x:v>1145</x:v>
      </x:c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43" t="n">
        <x:v>46110</x:v>
      </x:c>
      <x:c r="B278" s="44" t="n">
        <x:f>IF(COUNT(C278:D278)=2,SUM(C278:D278),"")</x:f>
        <x:v>126809</x:v>
      </x:c>
      <x:c r="C278" s="44" t="n">
        <x:v>117307</x:v>
      </x:c>
      <x:c r="D278" s="44" t="n">
        <x:v>9502</x:v>
      </x:c>
      <x:c r="E278" s="44" t="n">
        <x:v>21379</x:v>
      </x:c>
      <x:c r="F278" s="44" t="n">
        <x:v>2100</x:v>
      </x:c>
      <x:c r="G278" s="44" t="n">
        <x:v>1065</x:v>
      </x:c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43" t="n">
        <x:v>46111</x:v>
      </x:c>
      <x:c r="B279" s="44" t="n">
        <x:f>IF(COUNT(C279:D279)=2,SUM(C279:D279),"")</x:f>
        <x:v>139010</x:v>
      </x:c>
      <x:c r="C279" s="44" t="n">
        <x:v>129243</x:v>
      </x:c>
      <x:c r="D279" s="44" t="n">
        <x:v>9767</x:v>
      </x:c>
      <x:c r="E279" s="44" t="n">
        <x:v>21379</x:v>
      </x:c>
      <x:c r="F279" s="44" t="n">
        <x:v>2100</x:v>
      </x:c>
      <x:c r="G279" s="44" t="n">
        <x:v>1176</x:v>
      </x:c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43" t="n">
        <x:v>46112</x:v>
      </x:c>
      <x:c r="B280" s="44" t="n">
        <x:f>IF(COUNT(C280:D280)=2,SUM(C280:D280),"")</x:f>
        <x:v>148021</x:v>
      </x:c>
      <x:c r="C280" s="44" t="n">
        <x:v>137587</x:v>
      </x:c>
      <x:c r="D280" s="44" t="n">
        <x:v>10434</x:v>
      </x:c>
      <x:c r="E280" s="44" t="n">
        <x:v>21379</x:v>
      </x:c>
      <x:c r="F280" s="44" t="n">
        <x:v>2100</x:v>
      </x:c>
      <x:c r="G280" s="44" t="n">
        <x:v>1652</x:v>
      </x:c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43" t="n">
        <x:v>46113</x:v>
      </x:c>
      <x:c r="B281" s="44" t="n">
        <x:f>IF(COUNT(C281:D281)=2,SUM(C281:D281),"")</x:f>
        <x:v>123815</x:v>
      </x:c>
      <x:c r="C281" s="44" t="n">
        <x:v>115788</x:v>
      </x:c>
      <x:c r="D281" s="44" t="n">
        <x:v>8027</x:v>
      </x:c>
      <x:c r="E281" s="44" t="n">
        <x:v>21379</x:v>
      </x:c>
      <x:c r="F281" s="44" t="n">
        <x:v>2100</x:v>
      </x:c>
      <x:c r="G281" s="44" t="n">
        <x:v>772</x:v>
      </x:c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43" t="n">
        <x:v>46114</x:v>
      </x:c>
      <x:c r="B282" s="44" t="n">
        <x:f>IF(COUNT(C282:D282)=2,SUM(C282:D282),"")</x:f>
        <x:v>154893</x:v>
      </x:c>
      <x:c r="C282" s="44" t="n">
        <x:v>143849</x:v>
      </x:c>
      <x:c r="D282" s="44" t="n">
        <x:v>11044</x:v>
      </x:c>
      <x:c r="E282" s="44" t="n">
        <x:v>21379</x:v>
      </x:c>
      <x:c r="F282" s="44" t="n">
        <x:v>2100</x:v>
      </x:c>
      <x:c r="G282" s="44" t="n">
        <x:v>1095</x:v>
      </x:c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43" t="n">
        <x:v>46115</x:v>
      </x:c>
      <x:c r="B283" s="44" t="n">
        <x:f>IF(COUNT(C283:D283)=2,SUM(C283:D283),"")</x:f>
        <x:v>98798</x:v>
      </x:c>
      <x:c r="C283" s="44" t="n">
        <x:v>91397</x:v>
      </x:c>
      <x:c r="D283" s="44" t="n">
        <x:v>7401</x:v>
      </x:c>
      <x:c r="E283" s="44" t="n">
        <x:v>21379</x:v>
      </x:c>
      <x:c r="F283" s="44" t="n">
        <x:v>2100</x:v>
      </x:c>
      <x:c r="G283" s="44" t="n">
        <x:v>679</x:v>
      </x:c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43" t="n">
        <x:v>46116</x:v>
      </x:c>
      <x:c r="B284" s="44" t="n">
        <x:f>IF(COUNT(C284:D284)=2,SUM(C284:D284),"")</x:f>
        <x:v>72243</x:v>
      </x:c>
      <x:c r="C284" s="44" t="n">
        <x:v>66984</x:v>
      </x:c>
      <x:c r="D284" s="44" t="n">
        <x:v>5259</x:v>
      </x:c>
      <x:c r="E284" s="44" t="n">
        <x:v>21379</x:v>
      </x:c>
      <x:c r="F284" s="44" t="n">
        <x:v>2100</x:v>
      </x:c>
      <x:c r="G284" s="44" t="n">
        <x:v>523</x:v>
      </x:c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43" t="n">
        <x:v>46117</x:v>
      </x:c>
      <x:c r="B285" s="44" t="n">
        <x:f>IF(COUNT(C285:D285)=2,SUM(C285:D285),"")</x:f>
        <x:v>132684</x:v>
      </x:c>
      <x:c r="C285" s="44" t="n">
        <x:v>121972</x:v>
      </x:c>
      <x:c r="D285" s="44" t="n">
        <x:v>10712</x:v>
      </x:c>
      <x:c r="E285" s="44" t="n">
        <x:v>21379</x:v>
      </x:c>
      <x:c r="F285" s="44" t="n">
        <x:v>2100</x:v>
      </x:c>
      <x:c r="G285" s="44" t="n">
        <x:v>947</x:v>
      </x:c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43" t="n">
        <x:v>46118</x:v>
      </x:c>
      <x:c r="B286" s="44" t="n">
        <x:f>IF(COUNT(C286:D286)=2,SUM(C286:D286),"")</x:f>
        <x:v>114383</x:v>
      </x:c>
      <x:c r="C286" s="44" t="n">
        <x:v>106027</x:v>
      </x:c>
      <x:c r="D286" s="44" t="n">
        <x:v>8356</x:v>
      </x:c>
      <x:c r="E286" s="44" t="n">
        <x:v>21379</x:v>
      </x:c>
      <x:c r="F286" s="44" t="n">
        <x:v>2100</x:v>
      </x:c>
      <x:c r="G286" s="44" t="n">
        <x:v>744</x:v>
      </x:c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43" t="n">
        <x:v>46119</x:v>
      </x:c>
      <x:c r="B287" s="44" t="n">
        <x:f>IF(COUNT(C287:D287)=2,SUM(C287:D287),"")</x:f>
        <x:v>78514</x:v>
      </x:c>
      <x:c r="C287" s="44" t="n">
        <x:v>73526</x:v>
      </x:c>
      <x:c r="D287" s="44" t="n">
        <x:v>4988</x:v>
      </x:c>
      <x:c r="E287" s="44" t="n">
        <x:v>21379</x:v>
      </x:c>
      <x:c r="F287" s="44" t="n">
        <x:v>2100</x:v>
      </x:c>
      <x:c r="G287" s="44" t="n">
        <x:v>421</x:v>
      </x:c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43" t="n">
        <x:v>46120</x:v>
      </x:c>
      <x:c r="B288" s="44" t="n">
        <x:f>IF(COUNT(C288:D288)=2,SUM(C288:D288),"")</x:f>
        <x:v>130618</x:v>
      </x:c>
      <x:c r="C288" s="44" t="n">
        <x:v>121741</x:v>
      </x:c>
      <x:c r="D288" s="44" t="n">
        <x:v>8877</x:v>
      </x:c>
      <x:c r="E288" s="44" t="n">
        <x:v>21379</x:v>
      </x:c>
      <x:c r="F288" s="44" t="n">
        <x:v>2100</x:v>
      </x:c>
      <x:c r="G288" s="44" t="n">
        <x:v>852</x:v>
      </x:c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43" t="n">
        <x:v>46121</x:v>
      </x:c>
      <x:c r="B289" s="44" t="n">
        <x:f>IF(COUNT(C289:D289)=2,SUM(C289:D289),"")</x:f>
        <x:v>155470</x:v>
      </x:c>
      <x:c r="C289" s="44" t="n">
        <x:v>144399</x:v>
      </x:c>
      <x:c r="D289" s="44" t="n">
        <x:v>11071</x:v>
      </x:c>
      <x:c r="E289" s="44" t="n">
        <x:v>21379</x:v>
      </x:c>
      <x:c r="F289" s="44" t="n">
        <x:v>2100</x:v>
      </x:c>
      <x:c r="G289" s="44" t="n">
        <x:v>1114</x:v>
      </x:c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43" t="n">
        <x:v>46122</x:v>
      </x:c>
      <x:c r="B290" s="44" t="n">
        <x:f>IF(COUNT(C290:D290)=2,SUM(C290:D290),"")</x:f>
        <x:v>164356</x:v>
      </x:c>
      <x:c r="C290" s="44" t="n">
        <x:v>152288</x:v>
      </x:c>
      <x:c r="D290" s="44" t="n">
        <x:v>12068</x:v>
      </x:c>
      <x:c r="E290" s="44" t="n">
        <x:v>21379</x:v>
      </x:c>
      <x:c r="F290" s="44" t="n">
        <x:v>2100</x:v>
      </x:c>
      <x:c r="G290" s="44" t="n">
        <x:v>1091</x:v>
      </x:c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43" t="n">
        <x:v>46123</x:v>
      </x:c>
      <x:c r="B291" s="44" t="n">
        <x:f>IF(COUNT(C291:D291)=2,SUM(C291:D291),"")</x:f>
        <x:v>167806</x:v>
      </x:c>
      <x:c r="C291" s="44" t="n">
        <x:v>154405</x:v>
      </x:c>
      <x:c r="D291" s="44" t="n">
        <x:v>13401</x:v>
      </x:c>
      <x:c r="E291" s="44" t="n">
        <x:v>21379</x:v>
      </x:c>
      <x:c r="F291" s="44" t="n">
        <x:v>2100</x:v>
      </x:c>
      <x:c r="G291" s="44" t="n">
        <x:v>1166</x:v>
      </x:c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43" t="n">
        <x:v>46124</x:v>
      </x:c>
      <x:c r="B292" s="44" t="n">
        <x:f>IF(COUNT(C292:D292)=2,SUM(C292:D292),"")</x:f>
        <x:v>153648</x:v>
      </x:c>
      <x:c r="C292" s="44" t="n">
        <x:v>140784</x:v>
      </x:c>
      <x:c r="D292" s="44" t="n">
        <x:v>12864</x:v>
      </x:c>
      <x:c r="E292" s="44" t="n">
        <x:v>21379</x:v>
      </x:c>
      <x:c r="F292" s="44" t="n">
        <x:v>2100</x:v>
      </x:c>
      <x:c r="G292" s="44" t="n">
        <x:v>1058</x:v>
      </x:c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43" t="n">
        <x:v>46125</x:v>
      </x:c>
      <x:c r="B293" s="44" t="n">
        <x:f>IF(COUNT(C293:D293)=2,SUM(C293:D293),"")</x:f>
        <x:v>150632</x:v>
      </x:c>
      <x:c r="C293" s="44" t="n">
        <x:v>139645</x:v>
      </x:c>
      <x:c r="D293" s="44" t="n">
        <x:v>10987</x:v>
      </x:c>
      <x:c r="E293" s="44" t="n">
        <x:v>21379</x:v>
      </x:c>
      <x:c r="F293" s="44" t="n">
        <x:v>2100</x:v>
      </x:c>
      <x:c r="G293" s="44" t="n">
        <x:v>1002</x:v>
      </x:c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43" t="n">
        <x:v>46126</x:v>
      </x:c>
      <x:c r="B294" s="44" t="n">
        <x:f>IF(COUNT(C294:D294)=2,SUM(C294:D294),"")</x:f>
        <x:v>153904</x:v>
      </x:c>
      <x:c r="C294" s="44" t="n">
        <x:v>143127</x:v>
      </x:c>
      <x:c r="D294" s="44" t="n">
        <x:v>10777</x:v>
      </x:c>
      <x:c r="E294" s="44" t="n">
        <x:v>21379</x:v>
      </x:c>
      <x:c r="F294" s="44" t="n">
        <x:v>2100</x:v>
      </x:c>
      <x:c r="G294" s="44" t="n">
        <x:v>994</x:v>
      </x:c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43" t="n">
        <x:v>46127</x:v>
      </x:c>
      <x:c r="B295" s="44" t="n">
        <x:f>IF(COUNT(C295:D295)=2,SUM(C295:D295),"")</x:f>
        <x:v>132390</x:v>
      </x:c>
      <x:c r="C295" s="44" t="n">
        <x:v>123757</x:v>
      </x:c>
      <x:c r="D295" s="44" t="n">
        <x:v>8633</x:v>
      </x:c>
      <x:c r="E295" s="44" t="n">
        <x:v>21379</x:v>
      </x:c>
      <x:c r="F295" s="44" t="n">
        <x:v>2100</x:v>
      </x:c>
      <x:c r="G295" s="44" t="n">
        <x:v>890</x:v>
      </x:c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43" t="n">
        <x:v>46128</x:v>
      </x:c>
      <x:c r="B296" s="44" t="n">
        <x:f>IF(COUNT(C296:D296)=2,SUM(C296:D296),"")</x:f>
        <x:v>130646</x:v>
      </x:c>
      <x:c r="C296" s="44" t="n">
        <x:v>122418</x:v>
      </x:c>
      <x:c r="D296" s="44" t="n">
        <x:v>8228</x:v>
      </x:c>
      <x:c r="E296" s="44" t="n">
        <x:v>21379</x:v>
      </x:c>
      <x:c r="F296" s="44" t="n">
        <x:v>2100</x:v>
      </x:c>
      <x:c r="G296" s="44" t="n">
        <x:v>865</x:v>
      </x:c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43" t="n">
        <x:v>46129</x:v>
      </x:c>
      <x:c r="B297" s="44" t="n">
        <x:f>IF(COUNT(C297:D297)=2,SUM(C297:D297),"")</x:f>
        <x:v>163208</x:v>
      </x:c>
      <x:c r="C297" s="44" t="n">
        <x:v>151997</x:v>
      </x:c>
      <x:c r="D297" s="44" t="n">
        <x:v>11211</x:v>
      </x:c>
      <x:c r="E297" s="44" t="n">
        <x:v>21379</x:v>
      </x:c>
      <x:c r="F297" s="44" t="n">
        <x:v>2100</x:v>
      </x:c>
      <x:c r="G297" s="44" t="n">
        <x:v>1031</x:v>
      </x:c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43" t="n">
        <x:v>46130</x:v>
      </x:c>
      <x:c r="B298" s="44" t="n">
        <x:f>IF(COUNT(C298:D298)=2,SUM(C298:D298),"")</x:f>
        <x:v>159354</x:v>
      </x:c>
      <x:c r="C298" s="44" t="n">
        <x:v>147279</x:v>
      </x:c>
      <x:c r="D298" s="44" t="n">
        <x:v>12075</x:v>
      </x:c>
      <x:c r="E298" s="44" t="n">
        <x:v>21379</x:v>
      </x:c>
      <x:c r="F298" s="44" t="n">
        <x:v>2100</x:v>
      </x:c>
      <x:c r="G298" s="44" t="n">
        <x:v>1020</x:v>
      </x:c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43" t="n">
        <x:v>46131</x:v>
      </x:c>
      <x:c r="B299" s="44" t="n">
        <x:f>IF(COUNT(C299:D299)=2,SUM(C299:D299),"")</x:f>
        <x:v>155415</x:v>
      </x:c>
      <x:c r="C299" s="44" t="n">
        <x:v>142838</x:v>
      </x:c>
      <x:c r="D299" s="44" t="n">
        <x:v>12577</x:v>
      </x:c>
      <x:c r="E299" s="44" t="n">
        <x:v>21379</x:v>
      </x:c>
      <x:c r="F299" s="44" t="n">
        <x:v>2100</x:v>
      </x:c>
      <x:c r="G299" s="44" t="n">
        <x:v>1148</x:v>
      </x:c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43" t="n">
        <x:v>46132</x:v>
      </x:c>
      <x:c r="B300" s="44" t="n">
        <x:f>IF(COUNT(C300:D300)=2,SUM(C300:D300),"")</x:f>
        <x:v>151771</x:v>
      </x:c>
      <x:c r="C300" s="44" t="n">
        <x:v>140792</x:v>
      </x:c>
      <x:c r="D300" s="44" t="n">
        <x:v>10979</x:v>
      </x:c>
      <x:c r="E300" s="44" t="n">
        <x:v>21379</x:v>
      </x:c>
      <x:c r="F300" s="44" t="n">
        <x:v>2100</x:v>
      </x:c>
      <x:c r="G300" s="44" t="n">
        <x:v>1022</x:v>
      </x:c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43" t="n">
        <x:v>46133</x:v>
      </x:c>
      <x:c r="B301" s="44" t="n">
        <x:f>IF(COUNT(C301:D301)=2,SUM(C301:D301),"")</x:f>
        <x:v>155588</x:v>
      </x:c>
      <x:c r="C301" s="44" t="n">
        <x:v>144443</x:v>
      </x:c>
      <x:c r="D301" s="44" t="n">
        <x:v>11145</x:v>
      </x:c>
      <x:c r="E301" s="44" t="n">
        <x:v>21379</x:v>
      </x:c>
      <x:c r="F301" s="44" t="n">
        <x:v>2100</x:v>
      </x:c>
      <x:c r="G301" s="44" t="n">
        <x:v>1036</x:v>
      </x:c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43" t="n">
        <x:v>46134</x:v>
      </x:c>
      <x:c r="B302" s="44" t="n">
        <x:f>IF(COUNT(C302:D302)=2,SUM(C302:D302),"")</x:f>
        <x:v>160050</x:v>
      </x:c>
      <x:c r="C302" s="44" t="n">
        <x:v>148584</x:v>
      </x:c>
      <x:c r="D302" s="44" t="n">
        <x:v>11466</x:v>
      </x:c>
      <x:c r="E302" s="44" t="n">
        <x:v>21379</x:v>
      </x:c>
      <x:c r="F302" s="44" t="n">
        <x:v>2100</x:v>
      </x:c>
      <x:c r="G302" s="44" t="n">
        <x:v>1129</x:v>
      </x:c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43" t="n">
        <x:v>46135</x:v>
      </x:c>
      <x:c r="B303" s="44" t="n">
        <x:f>IF(COUNT(C303:D303)=2,SUM(C303:D303),"")</x:f>
        <x:v>99964</x:v>
      </x:c>
      <x:c r="C303" s="44" t="n">
        <x:v>92680</x:v>
      </x:c>
      <x:c r="D303" s="44" t="n">
        <x:v>7284</x:v>
      </x:c>
      <x:c r="E303" s="44" t="n">
        <x:v>21379</x:v>
      </x:c>
      <x:c r="F303" s="44" t="n">
        <x:v>2100</x:v>
      </x:c>
      <x:c r="G303" s="44" t="n">
        <x:v>767</x:v>
      </x:c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43" t="n">
        <x:v>46136</x:v>
      </x:c>
      <x:c r="B304" s="44" t="n">
        <x:f>IF(COUNT(C304:D304)=2,SUM(C304:D304),"")</x:f>
        <x:v>60414</x:v>
      </x:c>
      <x:c r="C304" s="44" t="n">
        <x:v>56428</x:v>
      </x:c>
      <x:c r="D304" s="44" t="n">
        <x:v>3986</x:v>
      </x:c>
      <x:c r="E304" s="44" t="n">
        <x:v>21379</x:v>
      </x:c>
      <x:c r="F304" s="44" t="n">
        <x:v>2100</x:v>
      </x:c>
      <x:c r="G304" s="44" t="n">
        <x:v>444</x:v>
      </x:c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43" t="n">
        <x:v>46137</x:v>
      </x:c>
      <x:c r="B305" s="44" t="n">
        <x:f>IF(COUNT(C305:D305)=2,SUM(C305:D305),"")</x:f>
        <x:v>112301</x:v>
      </x:c>
      <x:c r="C305" s="44" t="n">
        <x:v>104841</x:v>
      </x:c>
      <x:c r="D305" s="44" t="n">
        <x:v>7460</x:v>
      </x:c>
      <x:c r="E305" s="44" t="n">
        <x:v>21379</x:v>
      </x:c>
      <x:c r="F305" s="44" t="n">
        <x:v>2100</x:v>
      </x:c>
      <x:c r="G305" s="44" t="n">
        <x:v>792</x:v>
      </x:c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43" t="n">
        <x:v>46138</x:v>
      </x:c>
      <x:c r="B306" s="44" t="n">
        <x:f>IF(COUNT(C306:D306)=2,SUM(C306:D306),"")</x:f>
        <x:v>161083</x:v>
      </x:c>
      <x:c r="C306" s="44" t="n">
        <x:v>148195</x:v>
      </x:c>
      <x:c r="D306" s="44" t="n">
        <x:v>12888</x:v>
      </x:c>
      <x:c r="E306" s="44" t="n">
        <x:v>21379</x:v>
      </x:c>
      <x:c r="F306" s="44" t="n">
        <x:v>2100</x:v>
      </x:c>
      <x:c r="G306" s="44" t="n">
        <x:v>1240</x:v>
      </x:c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43" t="n">
        <x:v>46139</x:v>
      </x:c>
      <x:c r="B307" s="44" t="n">
        <x:f>IF(COUNT(C307:D307)=2,SUM(C307:D307),"")</x:f>
        <x:v>154092</x:v>
      </x:c>
      <x:c r="C307" s="44" t="n">
        <x:v>142947</x:v>
      </x:c>
      <x:c r="D307" s="44" t="n">
        <x:v>11145</x:v>
      </x:c>
      <x:c r="E307" s="44" t="n">
        <x:v>21379</x:v>
      </x:c>
      <x:c r="F307" s="44" t="n">
        <x:v>2100</x:v>
      </x:c>
      <x:c r="G307" s="44" t="n">
        <x:v>1211</x:v>
      </x:c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43" t="n">
        <x:v>46140</x:v>
      </x:c>
      <x:c r="B308" s="44" t="n">
        <x:f>IF(COUNT(C308:D308)=2,SUM(C308:D308),"")</x:f>
        <x:v>159479</x:v>
      </x:c>
      <x:c r="C308" s="44" t="n">
        <x:v>147712</x:v>
      </x:c>
      <x:c r="D308" s="44" t="n">
        <x:v>11767</x:v>
      </x:c>
      <x:c r="E308" s="44" t="n">
        <x:v>21379</x:v>
      </x:c>
      <x:c r="F308" s="44" t="n">
        <x:v>2100</x:v>
      </x:c>
      <x:c r="G308" s="44" t="n">
        <x:v>1443</x:v>
      </x:c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43" t="n">
        <x:v>46141</x:v>
      </x:c>
      <x:c r="B309" s="44" t="n">
        <x:f>IF(COUNT(C309:D309)=2,SUM(C309:D309),"")</x:f>
        <x:v>125583</x:v>
      </x:c>
      <x:c r="C309" s="44" t="n">
        <x:v>116497</x:v>
      </x:c>
      <x:c r="D309" s="44" t="n">
        <x:v>9086</x:v>
      </x:c>
      <x:c r="E309" s="44" t="n">
        <x:v>21379</x:v>
      </x:c>
      <x:c r="F309" s="44" t="n">
        <x:v>2100</x:v>
      </x:c>
      <x:c r="G309" s="44" t="n">
        <x:v>1230</x:v>
      </x:c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43" t="n">
        <x:v>46142</x:v>
      </x:c>
      <x:c r="B310" s="44" t="n">
        <x:f>IF(COUNT(C310:D310)=2,SUM(C310:D310),"")</x:f>
        <x:v>67507</x:v>
      </x:c>
      <x:c r="C310" s="44" t="n">
        <x:v>62861</x:v>
      </x:c>
      <x:c r="D310" s="44" t="n">
        <x:v>4646</x:v>
      </x:c>
      <x:c r="E310" s="44" t="n">
        <x:v>21379</x:v>
      </x:c>
      <x:c r="F310" s="44" t="n">
        <x:v>2100</x:v>
      </x:c>
      <x:c r="G310" s="44" t="n">
        <x:v>545</x:v>
      </x:c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43" t="n">
        <x:v>46143</x:v>
      </x:c>
      <x:c r="B311" s="44" t="n">
        <x:f>IF(COUNT(C311:D311)=2,SUM(C311:D311),"")</x:f>
        <x:v>154708</x:v>
      </x:c>
      <x:c r="C311" s="44" t="n">
        <x:v>142701</x:v>
      </x:c>
      <x:c r="D311" s="44" t="n">
        <x:v>12007</x:v>
      </x:c>
      <x:c r="E311" s="44" t="n">
        <x:v>21379</x:v>
      </x:c>
      <x:c r="F311" s="44" t="n">
        <x:v>2100</x:v>
      </x:c>
      <x:c r="G311" s="44" t="n">
        <x:v>1072</x:v>
      </x:c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43" t="n">
        <x:v>46144</x:v>
      </x:c>
      <x:c r="B312" s="44" t="n">
        <x:f>IF(COUNT(C312:D312)=2,SUM(C312:D312),"")</x:f>
        <x:v>160978</x:v>
      </x:c>
      <x:c r="C312" s="44" t="n">
        <x:v>147145</x:v>
      </x:c>
      <x:c r="D312" s="44" t="n">
        <x:v>13833</x:v>
      </x:c>
      <x:c r="E312" s="44" t="n">
        <x:v>21379</x:v>
      </x:c>
      <x:c r="F312" s="44" t="n">
        <x:v>2100</x:v>
      </x:c>
      <x:c r="G312" s="44" t="n">
        <x:v>1165</x:v>
      </x:c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43" t="n">
        <x:v>46145</x:v>
      </x:c>
      <x:c r="B313" s="44" t="n">
        <x:f>IF(COUNT(C313:D313)=2,SUM(C313:D313),"")</x:f>
        <x:v>149572</x:v>
      </x:c>
      <x:c r="C313" s="44" t="n">
        <x:v>137485</x:v>
      </x:c>
      <x:c r="D313" s="44" t="n">
        <x:v>12087</x:v>
      </x:c>
      <x:c r="E313" s="44" t="n">
        <x:v>21379</x:v>
      </x:c>
      <x:c r="F313" s="44" t="n">
        <x:v>2100</x:v>
      </x:c>
      <x:c r="G313" s="44" t="n">
        <x:v>1161</x:v>
      </x:c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43" t="n">
        <x:v>46146</x:v>
      </x:c>
      <x:c r="B314" s="44" t="n">
        <x:f>IF(COUNT(C314:D314)=2,SUM(C314:D314),"")</x:f>
        <x:v>88194</x:v>
      </x:c>
      <x:c r="C314" s="44" t="n">
        <x:v>82173</x:v>
      </x:c>
      <x:c r="D314" s="44" t="n">
        <x:v>6021</x:v>
      </x:c>
      <x:c r="E314" s="44" t="n">
        <x:v>21379</x:v>
      </x:c>
      <x:c r="F314" s="44" t="n">
        <x:v>2100</x:v>
      </x:c>
      <x:c r="G314" s="44" t="n">
        <x:v>694</x:v>
      </x:c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43" t="n">
        <x:v>46147</x:v>
      </x:c>
      <x:c r="B315" s="44" t="n">
        <x:f>IF(COUNT(C315:D315)=2,SUM(C315:D315),"")</x:f>
        <x:v>37022</x:v>
      </x:c>
      <x:c r="C315" s="44" t="n">
        <x:v>34455</x:v>
      </x:c>
      <x:c r="D315" s="44" t="n">
        <x:v>2567</x:v>
      </x:c>
      <x:c r="E315" s="44" t="n">
        <x:v>21379</x:v>
      </x:c>
      <x:c r="F315" s="44" t="n">
        <x:v>2100</x:v>
      </x:c>
      <x:c r="G315" s="44" t="n">
        <x:v>288</x:v>
      </x:c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43" t="n">
        <x:v>46148</x:v>
      </x:c>
      <x:c r="B316" s="44" t="n">
        <x:f>IF(COUNT(C316:D316)=2,SUM(C316:D316),"")</x:f>
        <x:v>157047</x:v>
      </x:c>
      <x:c r="C316" s="44" t="n">
        <x:v>145771</x:v>
      </x:c>
      <x:c r="D316" s="44" t="n">
        <x:v>11276</x:v>
      </x:c>
      <x:c r="E316" s="44" t="n">
        <x:v>21379</x:v>
      </x:c>
      <x:c r="F316" s="44" t="n">
        <x:v>2100</x:v>
      </x:c>
      <x:c r="G316" s="44" t="n">
        <x:v>1099</x:v>
      </x:c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43" t="n">
        <x:v>46149</x:v>
      </x:c>
      <x:c r="B317" s="44" t="n">
        <x:f>IF(COUNT(C317:D317)=2,SUM(C317:D317),"")</x:f>
        <x:v>156426</x:v>
      </x:c>
      <x:c r="C317" s="44" t="n">
        <x:v>145237</x:v>
      </x:c>
      <x:c r="D317" s="44" t="n">
        <x:v>11189</x:v>
      </x:c>
      <x:c r="E317" s="44" t="n">
        <x:v>21379</x:v>
      </x:c>
      <x:c r="F317" s="44" t="n">
        <x:v>2100</x:v>
      </x:c>
      <x:c r="G317" s="44" t="n">
        <x:v>1066</x:v>
      </x:c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43" t="n">
        <x:v>46150</x:v>
      </x:c>
      <x:c r="B318" s="44" t="n">
        <x:f>IF(COUNT(C318:D318)=2,SUM(C318:D318),"")</x:f>
        <x:v>152128</x:v>
      </x:c>
      <x:c r="C318" s="44" t="n">
        <x:v>141260</x:v>
      </x:c>
      <x:c r="D318" s="44" t="n">
        <x:v>10868</x:v>
      </x:c>
      <x:c r="E318" s="44" t="n">
        <x:v>21379</x:v>
      </x:c>
      <x:c r="F318" s="44" t="n">
        <x:v>2100</x:v>
      </x:c>
      <x:c r="G318" s="44" t="n">
        <x:v>992</x:v>
      </x:c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43" t="n">
        <x:v>46151</x:v>
      </x:c>
      <x:c r="B319" s="44" t="n">
        <x:f>IF(COUNT(C319:D319)=2,SUM(C319:D319),"")</x:f>
        <x:v>131005</x:v>
      </x:c>
      <x:c r="C319" s="44" t="n">
        <x:v>121192</x:v>
      </x:c>
      <x:c r="D319" s="44" t="n">
        <x:v>9813</x:v>
      </x:c>
      <x:c r="E319" s="44" t="n">
        <x:v>21379</x:v>
      </x:c>
      <x:c r="F319" s="44" t="n">
        <x:v>2100</x:v>
      </x:c>
      <x:c r="G319" s="44" t="n">
        <x:v>888</x:v>
      </x:c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43" t="n">
        <x:v>46152</x:v>
      </x:c>
      <x:c r="B320" s="44" t="n">
        <x:f>IF(COUNT(C320:D320)=2,SUM(C320:D320),"")</x:f>
        <x:v>137945</x:v>
      </x:c>
      <x:c r="C320" s="44" t="n">
        <x:v>126913</x:v>
      </x:c>
      <x:c r="D320" s="44" t="n">
        <x:v>11032</x:v>
      </x:c>
      <x:c r="E320" s="44" t="n">
        <x:v>21379</x:v>
      </x:c>
      <x:c r="F320" s="44" t="n">
        <x:v>2100</x:v>
      </x:c>
      <x:c r="G320" s="44" t="n">
        <x:v>1022</x:v>
      </x:c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43" t="n">
        <x:v>46153</x:v>
      </x:c>
      <x:c r="B321" s="44" t="n">
        <x:f>IF(COUNT(C321:D321)=2,SUM(C321:D321),"")</x:f>
        <x:v>151959</x:v>
      </x:c>
      <x:c r="C321" s="44" t="n">
        <x:v>140476</x:v>
      </x:c>
      <x:c r="D321" s="44" t="n">
        <x:v>11483</x:v>
      </x:c>
      <x:c r="E321" s="44" t="n">
        <x:v>21379</x:v>
      </x:c>
      <x:c r="F321" s="44" t="n">
        <x:v>2100</x:v>
      </x:c>
      <x:c r="G321" s="44" t="n">
        <x:v>1083</x:v>
      </x:c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43" t="n">
        <x:v>46154</x:v>
      </x:c>
      <x:c r="B322" s="44" t="n">
        <x:f>IF(COUNT(C322:D322)=2,SUM(C322:D322),"")</x:f>
        <x:v>161243</x:v>
      </x:c>
      <x:c r="C322" s="44" t="n">
        <x:v>149017</x:v>
      </x:c>
      <x:c r="D322" s="44" t="n">
        <x:v>12226</x:v>
      </x:c>
      <x:c r="E322" s="44" t="n">
        <x:v>21379</x:v>
      </x:c>
      <x:c r="F322" s="44" t="n">
        <x:v>2100</x:v>
      </x:c>
      <x:c r="G322" s="44" t="n">
        <x:v>1238</x:v>
      </x:c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43" t="n">
        <x:v>46155</x:v>
      </x:c>
      <x:c r="B323" s="44" t="n">
        <x:f>IF(COUNT(C323:D323)=2,SUM(C323:D323),"")</x:f>
        <x:v>82309</x:v>
      </x:c>
      <x:c r="C323" s="44" t="n">
        <x:v>76092</x:v>
      </x:c>
      <x:c r="D323" s="44" t="n">
        <x:v>6217</x:v>
      </x:c>
      <x:c r="E323" s="44" t="n">
        <x:v>21379</x:v>
      </x:c>
      <x:c r="F323" s="44" t="n">
        <x:v>2100</x:v>
      </x:c>
      <x:c r="G323" s="44" t="n">
        <x:v>701</x:v>
      </x:c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43" t="n">
        <x:v>46156</x:v>
      </x:c>
      <x:c r="B324" s="44" t="n">
        <x:f>IF(COUNT(C324:D324)=2,SUM(C324:D324),"")</x:f>
        <x:v>113795</x:v>
      </x:c>
      <x:c r="C324" s="44" t="n">
        <x:v>106596</x:v>
      </x:c>
      <x:c r="D324" s="44" t="n">
        <x:v>7199</x:v>
      </x:c>
      <x:c r="E324" s="44" t="n">
        <x:v>21379</x:v>
      </x:c>
      <x:c r="F324" s="44" t="n">
        <x:v>2100</x:v>
      </x:c>
      <x:c r="G324" s="44" t="n">
        <x:v>589</x:v>
      </x:c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43" t="n">
        <x:v>46157</x:v>
      </x:c>
      <x:c r="B325" s="44" t="n">
        <x:f>IF(COUNT(C325:D325)=2,SUM(C325:D325),"")</x:f>
        <x:v>180623</x:v>
      </x:c>
      <x:c r="C325" s="44" t="n">
        <x:v>167707</x:v>
      </x:c>
      <x:c r="D325" s="44" t="n">
        <x:v>12916</x:v>
      </x:c>
      <x:c r="E325" s="44" t="n">
        <x:v>21379</x:v>
      </x:c>
      <x:c r="F325" s="44" t="n">
        <x:v>2100</x:v>
      </x:c>
      <x:c r="G325" s="44" t="n">
        <x:v>1177</x:v>
      </x:c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43" t="n">
        <x:v>46158</x:v>
      </x:c>
      <x:c r="B326" s="44" t="n">
        <x:f>IF(COUNT(C326:D326)=2,SUM(C326:D326),"")</x:f>
        <x:v>177150</x:v>
      </x:c>
      <x:c r="C326" s="44" t="n">
        <x:v>162083</x:v>
      </x:c>
      <x:c r="D326" s="44" t="n">
        <x:v>15067</x:v>
      </x:c>
      <x:c r="E326" s="44" t="n">
        <x:v>21379</x:v>
      </x:c>
      <x:c r="F326" s="44" t="n">
        <x:v>2100</x:v>
      </x:c>
      <x:c r="G326" s="44" t="n">
        <x:v>1262</x:v>
      </x:c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43" t="n">
        <x:v>46159</x:v>
      </x:c>
      <x:c r="B327" s="44" t="n">
        <x:f>IF(COUNT(C327:D327)=2,SUM(C327:D327),"")</x:f>
        <x:v>166011</x:v>
      </x:c>
      <x:c r="C327" s="44" t="n">
        <x:v>151525</x:v>
      </x:c>
      <x:c r="D327" s="44" t="n">
        <x:v>14486</x:v>
      </x:c>
      <x:c r="E327" s="44" t="n">
        <x:v>21379</x:v>
      </x:c>
      <x:c r="F327" s="44" t="n">
        <x:v>2100</x:v>
      </x:c>
      <x:c r="G327" s="44" t="n">
        <x:v>1115</x:v>
      </x:c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43" t="n">
        <x:v>46160</x:v>
      </x:c>
      <x:c r="B328" s="44" t="n">
        <x:f>IF(COUNT(C328:D328)=2,SUM(C328:D328),"")</x:f>
        <x:v>157160</x:v>
      </x:c>
      <x:c r="C328" s="44" t="n">
        <x:v>145047</x:v>
      </x:c>
      <x:c r="D328" s="44" t="n">
        <x:v>12113</x:v>
      </x:c>
      <x:c r="E328" s="44" t="n">
        <x:v>21379</x:v>
      </x:c>
      <x:c r="F328" s="44" t="n">
        <x:v>2100</x:v>
      </x:c>
      <x:c r="G328" s="44" t="n">
        <x:v>1114</x:v>
      </x:c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43" t="n">
        <x:v>46161</x:v>
      </x:c>
      <x:c r="B329" s="44" t="n">
        <x:f>IF(COUNT(C329:D329)=2,SUM(C329:D329),"")</x:f>
        <x:v>161736</x:v>
      </x:c>
      <x:c r="C329" s="44" t="n">
        <x:v>149118</x:v>
      </x:c>
      <x:c r="D329" s="44" t="n">
        <x:v>12618</x:v>
      </x:c>
      <x:c r="E329" s="44" t="n">
        <x:v>21379</x:v>
      </x:c>
      <x:c r="F329" s="44" t="n">
        <x:v>2100</x:v>
      </x:c>
      <x:c r="G329" s="44" t="n">
        <x:v>1260</x:v>
      </x:c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43" t="n">
        <x:v>46162</x:v>
      </x:c>
      <x:c r="B330" s="44" t="n">
        <x:f>IF(COUNT(C330:D330)=2,SUM(C330:D330),"")</x:f>
        <x:v>161758</x:v>
      </x:c>
      <x:c r="C330" s="44" t="n">
        <x:v>149557</x:v>
      </x:c>
      <x:c r="D330" s="44" t="n">
        <x:v>12201</x:v>
      </x:c>
      <x:c r="E330" s="44" t="n">
        <x:v>21379</x:v>
      </x:c>
      <x:c r="F330" s="44" t="n">
        <x:v>2100</x:v>
      </x:c>
      <x:c r="G330" s="44" t="n">
        <x:v>1148</x:v>
      </x:c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43" t="n">
        <x:v>46163</x:v>
      </x:c>
      <x:c r="B331" s="44" t="n">
        <x:f>IF(COUNT(C331:D331)=2,SUM(C331:D331),"")</x:f>
        <x:v>157084</x:v>
      </x:c>
      <x:c r="C331" s="44" t="n">
        <x:v>146000</x:v>
      </x:c>
      <x:c r="D331" s="44" t="n">
        <x:v>11084</x:v>
      </x:c>
      <x:c r="E331" s="44" t="n">
        <x:v>21379</x:v>
      </x:c>
      <x:c r="F331" s="44" t="n">
        <x:v>2100</x:v>
      </x:c>
      <x:c r="G331" s="44" t="n">
        <x:v>1106</x:v>
      </x:c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43" t="n">
        <x:v>46164</x:v>
      </x:c>
      <x:c r="B332" s="44" t="n">
        <x:f>IF(COUNT(C332:D332)=2,SUM(C332:D332),"")</x:f>
        <x:v>170448</x:v>
      </x:c>
      <x:c r="C332" s="44" t="n">
        <x:v>157583</x:v>
      </x:c>
      <x:c r="D332" s="44" t="n">
        <x:v>12865</x:v>
      </x:c>
      <x:c r="E332" s="44" t="n">
        <x:v>21379</x:v>
      </x:c>
      <x:c r="F332" s="44" t="n">
        <x:v>2100</x:v>
      </x:c>
      <x:c r="G332" s="44" t="n">
        <x:v>1193</x:v>
      </x:c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43" t="n">
        <x:v>46165</x:v>
      </x:c>
      <x:c r="B333" s="44" t="n">
        <x:f>IF(COUNT(C333:D333)=2,SUM(C333:D333),"")</x:f>
        <x:v>171984</x:v>
      </x:c>
      <x:c r="C333" s="44" t="n">
        <x:v>157121</x:v>
      </x:c>
      <x:c r="D333" s="44" t="n">
        <x:v>14863</x:v>
      </x:c>
      <x:c r="E333" s="44" t="n">
        <x:v>21379</x:v>
      </x:c>
      <x:c r="F333" s="44" t="n">
        <x:v>2100</x:v>
      </x:c>
      <x:c r="G333" s="44" t="n">
        <x:v>1133</x:v>
      </x:c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43" t="n">
        <x:v>46166</x:v>
      </x:c>
      <x:c r="B334" s="44" t="n">
        <x:f>IF(COUNT(C334:D334)=2,SUM(C334:D334),"")</x:f>
        <x:v>158955</x:v>
      </x:c>
      <x:c r="C334" s="44" t="n">
        <x:v>145460</x:v>
      </x:c>
      <x:c r="D334" s="44" t="n">
        <x:v>13495</x:v>
      </x:c>
      <x:c r="E334" s="44" t="n">
        <x:v>21379</x:v>
      </x:c>
      <x:c r="F334" s="44" t="n">
        <x:v>2100</x:v>
      </x:c>
      <x:c r="G334" s="44" t="n">
        <x:v>1154</x:v>
      </x:c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43" t="n">
        <x:v>46167</x:v>
      </x:c>
      <x:c r="B335" s="44" t="n">
        <x:f>IF(COUNT(C335:D335)=2,SUM(C335:D335),"")</x:f>
        <x:v>157148</x:v>
      </x:c>
      <x:c r="C335" s="44" t="n">
        <x:v>145896</x:v>
      </x:c>
      <x:c r="D335" s="44" t="n">
        <x:v>11252</x:v>
      </x:c>
      <x:c r="E335" s="44" t="n">
        <x:v>21379</x:v>
      </x:c>
      <x:c r="F335" s="44" t="n">
        <x:v>2100</x:v>
      </x:c>
      <x:c r="G335" s="44" t="n">
        <x:v>1073</x:v>
      </x:c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43" t="n">
        <x:v>46168</x:v>
      </x:c>
      <x:c r="B336" s="44" t="n">
        <x:f>IF(COUNT(C336:D336)=2,SUM(C336:D336),"")</x:f>
        <x:v>159047</x:v>
      </x:c>
      <x:c r="C336" s="44" t="n">
        <x:v>147835</x:v>
      </x:c>
      <x:c r="D336" s="44" t="n">
        <x:v>11212</x:v>
      </x:c>
      <x:c r="E336" s="44" t="n">
        <x:v>21379</x:v>
      </x:c>
      <x:c r="F336" s="44" t="n">
        <x:v>2100</x:v>
      </x:c>
      <x:c r="G336" s="44" t="n">
        <x:v>1129</x:v>
      </x:c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43" t="n">
        <x:v>46169</x:v>
      </x:c>
      <x:c r="B337" s="44" t="n">
        <x:f>IF(COUNT(C337:D337)=2,SUM(C337:D337),"")</x:f>
        <x:v>156852</x:v>
      </x:c>
      <x:c r="C337" s="44" t="n">
        <x:v>145542</x:v>
      </x:c>
      <x:c r="D337" s="44" t="n">
        <x:v>11310</x:v>
      </x:c>
      <x:c r="E337" s="44" t="n">
        <x:v>21379</x:v>
      </x:c>
      <x:c r="F337" s="44" t="n">
        <x:v>2100</x:v>
      </x:c>
      <x:c r="G337" s="44" t="n">
        <x:v>1103</x:v>
      </x:c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43" t="n">
        <x:v>46170</x:v>
      </x:c>
      <x:c r="B338" s="44" t="n">
        <x:f>IF(COUNT(C338:D338)=2,SUM(C338:D338),"")</x:f>
        <x:v>157519</x:v>
      </x:c>
      <x:c r="C338" s="44" t="n">
        <x:v>146215</x:v>
      </x:c>
      <x:c r="D338" s="44" t="n">
        <x:v>11304</x:v>
      </x:c>
      <x:c r="E338" s="44" t="n">
        <x:v>21379</x:v>
      </x:c>
      <x:c r="F338" s="44" t="n">
        <x:v>2100</x:v>
      </x:c>
      <x:c r="G338" s="44" t="n">
        <x:v>1150</x:v>
      </x:c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43" t="n">
        <x:v>46171</x:v>
      </x:c>
      <x:c r="B339" s="44" t="n">
        <x:f>IF(COUNT(C339:D339)=2,SUM(C339:D339),"")</x:f>
        <x:v>131771</x:v>
      </x:c>
      <x:c r="C339" s="44" t="n">
        <x:v>121513</x:v>
      </x:c>
      <x:c r="D339" s="44" t="n">
        <x:v>10258</x:v>
      </x:c>
      <x:c r="E339" s="44" t="n">
        <x:v>21379</x:v>
      </x:c>
      <x:c r="F339" s="44" t="n">
        <x:v>2100</x:v>
      </x:c>
      <x:c r="G339" s="44" t="n">
        <x:v>1091</x:v>
      </x:c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43" t="n">
        <x:v>46172</x:v>
      </x:c>
      <x:c r="B340" s="44" t="n">
        <x:f>IF(COUNT(C340:D340)=2,SUM(C340:D340),"")</x:f>
        <x:v>169442</x:v>
      </x:c>
      <x:c r="C340" s="44" t="n">
        <x:v>154387</x:v>
      </x:c>
      <x:c r="D340" s="44" t="n">
        <x:v>15055</x:v>
      </x:c>
      <x:c r="E340" s="44" t="n">
        <x:v>21379</x:v>
      </x:c>
      <x:c r="F340" s="44" t="n">
        <x:v>2100</x:v>
      </x:c>
      <x:c r="G340" s="44" t="n">
        <x:v>1552</x:v>
      </x:c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43" t="n">
        <x:v>46173</x:v>
      </x:c>
      <x:c r="B341" s="44" t="n">
        <x:f>IF(COUNT(C341:D341)=2,SUM(C341:D341),"")</x:f>
        <x:v>158763</x:v>
      </x:c>
      <x:c r="C341" s="44" t="n">
        <x:v>144546</x:v>
      </x:c>
      <x:c r="D341" s="44" t="n">
        <x:v>14217</x:v>
      </x:c>
      <x:c r="E341" s="44" t="n">
        <x:v>21379</x:v>
      </x:c>
      <x:c r="F341" s="44" t="n">
        <x:v>2100</x:v>
      </x:c>
      <x:c r="G341" s="44" t="n">
        <x:v>1640</x:v>
      </x:c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43" t="n">
        <x:v>46174</x:v>
      </x:c>
      <x:c r="B342" s="44" t="n">
        <x:f>IF(COUNT(C342:D342)=2,SUM(C342:D342),"")</x:f>
        <x:v>160267</x:v>
      </x:c>
      <x:c r="C342" s="44" t="n">
        <x:v>148186</x:v>
      </x:c>
      <x:c r="D342" s="44" t="n">
        <x:v>12081</x:v>
      </x:c>
      <x:c r="E342" s="44" t="n">
        <x:v>21379</x:v>
      </x:c>
      <x:c r="F342" s="44" t="n">
        <x:v>2100</x:v>
      </x:c>
      <x:c r="G342" s="44" t="n">
        <x:v>1170</x:v>
      </x:c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43" t="n">
        <x:v>46175</x:v>
      </x:c>
      <x:c r="B343" s="44" t="n">
        <x:f>IF(COUNT(C343:D343)=2,SUM(C343:D343),"")</x:f>
        <x:v>158985</x:v>
      </x:c>
      <x:c r="C343" s="44" t="n">
        <x:v>147416</x:v>
      </x:c>
      <x:c r="D343" s="44" t="n">
        <x:v>11569</x:v>
      </x:c>
      <x:c r="E343" s="44" t="n">
        <x:v>21379</x:v>
      </x:c>
      <x:c r="F343" s="44" t="n">
        <x:v>2100</x:v>
      </x:c>
      <x:c r="G343" s="44" t="n">
        <x:v>1093</x:v>
      </x:c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43" t="n">
        <x:v>46176</x:v>
      </x:c>
      <x:c r="B344" s="44" t="n">
        <x:f>IF(COUNT(C344:D344)=2,SUM(C344:D344),"")</x:f>
        <x:v>149693</x:v>
      </x:c>
      <x:c r="C344" s="44" t="n">
        <x:v>138717</x:v>
      </x:c>
      <x:c r="D344" s="44" t="n">
        <x:v>10976</x:v>
      </x:c>
      <x:c r="E344" s="44" t="n">
        <x:v>21379</x:v>
      </x:c>
      <x:c r="F344" s="44" t="n">
        <x:v>2100</x:v>
      </x:c>
      <x:c r="G344" s="44" t="n">
        <x:v>1035</x:v>
      </x:c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43" t="n">
        <x:v>46177</x:v>
      </x:c>
      <x:c r="B345" s="44" t="n">
        <x:f>IF(COUNT(C345:D345)=2,SUM(C345:D345),"")</x:f>
        <x:v>102420</x:v>
      </x:c>
      <x:c r="C345" s="44" t="n">
        <x:v>94911</x:v>
      </x:c>
      <x:c r="D345" s="44" t="n">
        <x:v>7509</x:v>
      </x:c>
      <x:c r="E345" s="44" t="n">
        <x:v>21379</x:v>
      </x:c>
      <x:c r="F345" s="44" t="n">
        <x:v>2100</x:v>
      </x:c>
      <x:c r="G345" s="44" t="n">
        <x:v>824</x:v>
      </x:c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43" t="n">
        <x:v>46178</x:v>
      </x:c>
      <x:c r="B346" s="44" t="n">
        <x:f>IF(COUNT(C346:D346)=2,SUM(C346:D346),"")</x:f>
        <x:v>57434</x:v>
      </x:c>
      <x:c r="C346" s="44" t="n">
        <x:v>53218</x:v>
      </x:c>
      <x:c r="D346" s="44" t="n">
        <x:v>4216</x:v>
      </x:c>
      <x:c r="E346" s="44" t="n">
        <x:v>21379</x:v>
      </x:c>
      <x:c r="F346" s="44" t="n">
        <x:v>2100</x:v>
      </x:c>
      <x:c r="G346" s="44" t="n">
        <x:v>419</x:v>
      </x:c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43" t="n">
        <x:v>46179</x:v>
      </x:c>
      <x:c r="B347" s="44" t="n">
        <x:f>IF(COUNT(C347:D347)=2,SUM(C347:D347),"")</x:f>
        <x:v>150487</x:v>
      </x:c>
      <x:c r="C347" s="44" t="n">
        <x:v>138368</x:v>
      </x:c>
      <x:c r="D347" s="44" t="n">
        <x:v>12119</x:v>
      </x:c>
      <x:c r="E347" s="44" t="n">
        <x:v>21379</x:v>
      </x:c>
      <x:c r="F347" s="44" t="n">
        <x:v>2100</x:v>
      </x:c>
      <x:c r="G347" s="44" t="n">
        <x:v>1078</x:v>
      </x:c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43" t="n">
        <x:v>46180</x:v>
      </x:c>
      <x:c r="B348" s="44" t="n">
        <x:f>IF(COUNT(C348:D348)=2,SUM(C348:D348),"")</x:f>
        <x:v>111615</x:v>
      </x:c>
      <x:c r="C348" s="44" t="n">
        <x:v>102209</x:v>
      </x:c>
      <x:c r="D348" s="44" t="n">
        <x:v>9406</x:v>
      </x:c>
      <x:c r="E348" s="44" t="n">
        <x:v>21379</x:v>
      </x:c>
      <x:c r="F348" s="44" t="n">
        <x:v>2100</x:v>
      </x:c>
      <x:c r="G348" s="44" t="n">
        <x:v>884</x:v>
      </x:c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43" t="n">
        <x:v>46181</x:v>
      </x:c>
      <x:c r="B349" s="44" t="n">
        <x:f>IF(COUNT(C349:D349)=2,SUM(C349:D349),"")</x:f>
        <x:v>96785</x:v>
      </x:c>
      <x:c r="C349" s="44" t="n">
        <x:v>89734</x:v>
      </x:c>
      <x:c r="D349" s="44" t="n">
        <x:v>7051</x:v>
      </x:c>
      <x:c r="E349" s="44" t="n">
        <x:v>21379</x:v>
      </x:c>
      <x:c r="F349" s="44" t="n">
        <x:v>2100</x:v>
      </x:c>
      <x:c r="G349" s="44" t="n">
        <x:v>644</x:v>
      </x:c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43" t="n">
        <x:v>46182</x:v>
      </x:c>
      <x:c r="B350" s="44" t="n">
        <x:f>IF(COUNT(C350:D350)=2,SUM(C350:D350),"")</x:f>
        <x:v>42618</x:v>
      </x:c>
      <x:c r="C350" s="44" t="n">
        <x:v>39640</x:v>
      </x:c>
      <x:c r="D350" s="44" t="n">
        <x:v>2978</x:v>
      </x:c>
      <x:c r="E350" s="44" t="n">
        <x:v>21379</x:v>
      </x:c>
      <x:c r="F350" s="44" t="n">
        <x:v>2100</x:v>
      </x:c>
      <x:c r="G350" s="44" t="n">
        <x:v>276</x:v>
      </x:c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43" t="n">
        <x:v>46183</x:v>
      </x:c>
      <x:c r="B351" s="44" t="n">
        <x:f>IF(COUNT(C351:D351)=2,SUM(C351:D351),"")</x:f>
        <x:v>69897</x:v>
      </x:c>
      <x:c r="C351" s="44" t="n">
        <x:v>65259</x:v>
      </x:c>
      <x:c r="D351" s="44" t="n">
        <x:v>4638</x:v>
      </x:c>
      <x:c r="E351" s="44" t="n">
        <x:v>21379</x:v>
      </x:c>
      <x:c r="F351" s="44" t="n">
        <x:v>2100</x:v>
      </x:c>
      <x:c r="G351" s="44" t="n">
        <x:v>419</x:v>
      </x:c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43" t="n">
        <x:v>46184</x:v>
      </x:c>
      <x:c r="B352" s="44" t="n">
        <x:f>IF(COUNT(C352:D352)=2,SUM(C352:D352),"")</x:f>
        <x:v>96898</x:v>
      </x:c>
      <x:c r="C352" s="44" t="n">
        <x:v>90717</x:v>
      </x:c>
      <x:c r="D352" s="44" t="n">
        <x:v>6181</x:v>
      </x:c>
      <x:c r="E352" s="44" t="n">
        <x:v>21379</x:v>
      </x:c>
      <x:c r="F352" s="44" t="n">
        <x:v>2100</x:v>
      </x:c>
      <x:c r="G352" s="44" t="n">
        <x:v>602</x:v>
      </x:c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43" t="n">
        <x:v>46185</x:v>
      </x:c>
      <x:c r="B353" s="44" t="n">
        <x:f>IF(COUNT(C353:D353)=2,SUM(C353:D353),"")</x:f>
        <x:v>85160</x:v>
      </x:c>
      <x:c r="C353" s="44" t="n">
        <x:v>79072</x:v>
      </x:c>
      <x:c r="D353" s="44" t="n">
        <x:v>6088</x:v>
      </x:c>
      <x:c r="E353" s="44" t="n">
        <x:v>21379</x:v>
      </x:c>
      <x:c r="F353" s="44" t="n">
        <x:v>2100</x:v>
      </x:c>
      <x:c r="G353" s="44" t="n">
        <x:v>651</x:v>
      </x:c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43" t="n">
        <x:v>46186</x:v>
      </x:c>
      <x:c r="B354" s="44" t="n">
        <x:f>IF(COUNT(C354:D354)=2,SUM(C354:D354),"")</x:f>
        <x:v>158351</x:v>
      </x:c>
      <x:c r="C354" s="44" t="n">
        <x:v>146203</x:v>
      </x:c>
      <x:c r="D354" s="44" t="n">
        <x:v>12148</x:v>
      </x:c>
      <x:c r="E354" s="44" t="n">
        <x:v>21379</x:v>
      </x:c>
      <x:c r="F354" s="44" t="n">
        <x:v>2100</x:v>
      </x:c>
      <x:c r="G354" s="44" t="n">
        <x:v>1118</x:v>
      </x:c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43" t="n">
        <x:v>46187</x:v>
      </x:c>
      <x:c r="B355" s="44" t="n">
        <x:f>IF(COUNT(C355:D355)=2,SUM(C355:D355),"")</x:f>
        <x:v>69454</x:v>
      </x:c>
      <x:c r="C355" s="44" t="n">
        <x:v>63907</x:v>
      </x:c>
      <x:c r="D355" s="44" t="n">
        <x:v>5547</x:v>
      </x:c>
      <x:c r="E355" s="44" t="n">
        <x:v>21379</x:v>
      </x:c>
      <x:c r="F355" s="44" t="n">
        <x:v>2100</x:v>
      </x:c>
      <x:c r="G355" s="44" t="n">
        <x:v>591</x:v>
      </x:c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43" t="n">
        <x:v>46188</x:v>
      </x:c>
      <x:c r="B356" s="44" t="n">
        <x:f>IF(COUNT(C356:D356)=2,SUM(C356:D356),"")</x:f>
        <x:v>133024</x:v>
      </x:c>
      <x:c r="C356" s="44" t="n">
        <x:v>123230</x:v>
      </x:c>
      <x:c r="D356" s="44" t="n">
        <x:v>9794</x:v>
      </x:c>
      <x:c r="E356" s="44" t="n">
        <x:v>21379</x:v>
      </x:c>
      <x:c r="F356" s="44" t="n">
        <x:v>2100</x:v>
      </x:c>
      <x:c r="G356" s="44" t="n">
        <x:v>1000</x:v>
      </x:c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43" t="n">
        <x:v>46189</x:v>
      </x:c>
      <x:c r="B357" s="44" t="n">
        <x:f>IF(COUNT(C357:D357)=2,SUM(C357:D357),"")</x:f>
        <x:v>144183</x:v>
      </x:c>
      <x:c r="C357" s="44" t="n">
        <x:v>133873</x:v>
      </x:c>
      <x:c r="D357" s="44" t="n">
        <x:v>10310</x:v>
      </x:c>
      <x:c r="E357" s="44" t="n">
        <x:v>21379</x:v>
      </x:c>
      <x:c r="F357" s="44" t="n">
        <x:v>2100</x:v>
      </x:c>
      <x:c r="G357" s="44" t="n">
        <x:v>1084</x:v>
      </x:c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43" t="n">
        <x:v>46190</x:v>
      </x:c>
      <x:c r="B358" s="44" t="n">
        <x:f>IF(COUNT(C358:D358)=2,SUM(C358:D358),"")</x:f>
        <x:v>136415</x:v>
      </x:c>
      <x:c r="C358" s="44" t="n">
        <x:v>126780</x:v>
      </x:c>
      <x:c r="D358" s="44" t="n">
        <x:v>9635</x:v>
      </x:c>
      <x:c r="E358" s="44" t="n">
        <x:v>21379</x:v>
      </x:c>
      <x:c r="F358" s="44" t="n">
        <x:v>2100</x:v>
      </x:c>
      <x:c r="G358" s="44" t="n">
        <x:v>935</x:v>
      </x:c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43" t="n">
        <x:v>46191</x:v>
      </x:c>
      <x:c r="B359" s="44" t="n">
        <x:f>IF(COUNT(C359:D359)=2,SUM(C359:D359),"")</x:f>
        <x:v>141079</x:v>
      </x:c>
      <x:c r="C359" s="44" t="n">
        <x:v>130592</x:v>
      </x:c>
      <x:c r="D359" s="44" t="n">
        <x:v>10487</x:v>
      </x:c>
      <x:c r="E359" s="44" t="n">
        <x:v>21379</x:v>
      </x:c>
      <x:c r="F359" s="44" t="n">
        <x:v>2100</x:v>
      </x:c>
      <x:c r="G359" s="44" t="n">
        <x:v>1000</x:v>
      </x:c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43" t="n">
        <x:v>46192</x:v>
      </x:c>
      <x:c r="B360" s="44" t="n">
        <x:f>IF(COUNT(C360:D360)=2,SUM(C360:D360),"")</x:f>
        <x:v>139432</x:v>
      </x:c>
      <x:c r="C360" s="44" t="n">
        <x:v>127642</x:v>
      </x:c>
      <x:c r="D360" s="44" t="n">
        <x:v>11790</x:v>
      </x:c>
      <x:c r="E360" s="44" t="n">
        <x:v>21379</x:v>
      </x:c>
      <x:c r="F360" s="44" t="n">
        <x:v>2100</x:v>
      </x:c>
      <x:c r="G360" s="44" t="n">
        <x:v>1099</x:v>
      </x:c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43" t="n">
        <x:v>46193</x:v>
      </x:c>
      <x:c r="B361" s="44" t="n">
        <x:f>IF(COUNT(C361:D361)=2,SUM(C361:D361),"")</x:f>
        <x:v>146067</x:v>
      </x:c>
      <x:c r="C361" s="44" t="n">
        <x:v>132637</x:v>
      </x:c>
      <x:c r="D361" s="44" t="n">
        <x:v>13430</x:v>
      </x:c>
      <x:c r="E361" s="44" t="n">
        <x:v>21379</x:v>
      </x:c>
      <x:c r="F361" s="44" t="n">
        <x:v>2100</x:v>
      </x:c>
      <x:c r="G361" s="44" t="n">
        <x:v>1230</x:v>
      </x:c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43" t="n">
        <x:v>46194</x:v>
      </x:c>
      <x:c r="B362" s="44" t="n">
        <x:f>IF(COUNT(C362:D362)=2,SUM(C362:D362),"")</x:f>
        <x:v>133485</x:v>
      </x:c>
      <x:c r="C362" s="44" t="n">
        <x:v>121753</x:v>
      </x:c>
      <x:c r="D362" s="44" t="n">
        <x:v>11732</x:v>
      </x:c>
      <x:c r="E362" s="44" t="n">
        <x:v>21379</x:v>
      </x:c>
      <x:c r="F362" s="44" t="n">
        <x:v>2100</x:v>
      </x:c>
      <x:c r="G362" s="44" t="n">
        <x:v>1172</x:v>
      </x:c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43" t="n">
        <x:v>46195</x:v>
      </x:c>
      <x:c r="B363" s="44" t="n">
        <x:f>IF(COUNT(C363:D363)=2,SUM(C363:D363),"")</x:f>
        <x:v>150327</x:v>
      </x:c>
      <x:c r="C363" s="44" t="n">
        <x:v>138874</x:v>
      </x:c>
      <x:c r="D363" s="44" t="n">
        <x:v>11453</x:v>
      </x:c>
      <x:c r="E363" s="44" t="n">
        <x:v>21379</x:v>
      </x:c>
      <x:c r="F363" s="44" t="n">
        <x:v>2100</x:v>
      </x:c>
      <x:c r="G363" s="44" t="n">
        <x:v>1206</x:v>
      </x:c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43" t="n">
        <x:v>46196</x:v>
      </x:c>
      <x:c r="B364" s="44" t="n">
        <x:f>IF(COUNT(C364:D364)=2,SUM(C364:D364),"")</x:f>
        <x:v>156241</x:v>
      </x:c>
      <x:c r="C364" s="44" t="n">
        <x:v>144216</x:v>
      </x:c>
      <x:c r="D364" s="44" t="n">
        <x:v>12025</x:v>
      </x:c>
      <x:c r="E364" s="44" t="n">
        <x:v>21379</x:v>
      </x:c>
      <x:c r="F364" s="44" t="n">
        <x:v>2100</x:v>
      </x:c>
      <x:c r="G364" s="44" t="n">
        <x:v>1251</x:v>
      </x:c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43" t="n">
        <x:v>46197</x:v>
      </x:c>
      <x:c r="B365" s="44" t="n">
        <x:f>IF(COUNT(C365:D365)=2,SUM(C365:D365),"")</x:f>
        <x:v>158620</x:v>
      </x:c>
      <x:c r="C365" s="44" t="n">
        <x:v>146988</x:v>
      </x:c>
      <x:c r="D365" s="44" t="n">
        <x:v>11632</x:v>
      </x:c>
      <x:c r="E365" s="44" t="n">
        <x:v>21379</x:v>
      </x:c>
      <x:c r="F365" s="44" t="n">
        <x:v>2100</x:v>
      </x:c>
      <x:c r="G365" s="44" t="n">
        <x:v>1281</x:v>
      </x:c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43" t="n">
        <x:v>46198</x:v>
      </x:c>
      <x:c r="B366" s="44" t="n">
        <x:f>IF(COUNT(C366:D366)=2,SUM(C366:D366),"")</x:f>
        <x:v>93232</x:v>
      </x:c>
      <x:c r="C366" s="44" t="n">
        <x:v>87112</x:v>
      </x:c>
      <x:c r="D366" s="44" t="n">
        <x:v>6120</x:v>
      </x:c>
      <x:c r="E366" s="44" t="n">
        <x:v>21379</x:v>
      </x:c>
      <x:c r="F366" s="44" t="n">
        <x:v>2100</x:v>
      </x:c>
      <x:c r="G366" s="44" t="n">
        <x:v>770</x:v>
      </x:c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43" t="n">
        <x:v>46199</x:v>
      </x:c>
      <x:c r="B367" s="44" t="n">
        <x:f>IF(COUNT(C367:D367)=2,SUM(C367:D367),"")</x:f>
        <x:v>67162</x:v>
      </x:c>
      <x:c r="C367" s="44" t="n">
        <x:v>62470</x:v>
      </x:c>
      <x:c r="D367" s="44" t="n">
        <x:v>4692</x:v>
      </x:c>
      <x:c r="E367" s="44" t="n">
        <x:v>21379</x:v>
      </x:c>
      <x:c r="F367" s="44" t="n">
        <x:v>2100</x:v>
      </x:c>
      <x:c r="G367" s="44" t="n">
        <x:v>585</x:v>
      </x:c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43" t="n">
        <x:v>46200</x:v>
      </x:c>
      <x:c r="B368" s="44" t="n">
        <x:f>IF(COUNT(C368:D368)=2,SUM(C368:D368),"")</x:f>
        <x:v>81821</x:v>
      </x:c>
      <x:c r="C368" s="44" t="n">
        <x:v>75629</x:v>
      </x:c>
      <x:c r="D368" s="44" t="n">
        <x:v>6192</x:v>
      </x:c>
      <x:c r="E368" s="44" t="n">
        <x:v>21379</x:v>
      </x:c>
      <x:c r="F368" s="44" t="n">
        <x:v>2100</x:v>
      </x:c>
      <x:c r="G368" s="44" t="n">
        <x:v>773</x:v>
      </x:c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43" t="n">
        <x:v>46201</x:v>
      </x:c>
      <x:c r="B369" s="44" t="n">
        <x:f>IF(COUNT(C369:D369)=2,SUM(C369:D369),"")</x:f>
        <x:v>115029</x:v>
      </x:c>
      <x:c r="C369" s="44" t="n">
        <x:v>105541</x:v>
      </x:c>
      <x:c r="D369" s="44" t="n">
        <x:v>9488</x:v>
      </x:c>
      <x:c r="E369" s="44" t="n">
        <x:v>21379</x:v>
      </x:c>
      <x:c r="F369" s="44" t="n">
        <x:v>2100</x:v>
      </x:c>
      <x:c r="G369" s="44" t="n">
        <x:v>1325</x:v>
      </x:c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43" t="n">
        <x:v>46202</x:v>
      </x:c>
      <x:c r="B370" s="44" t="n">
        <x:f>IF(COUNT(C370:D370)=2,SUM(C370:D370),"")</x:f>
        <x:v>145089</x:v>
      </x:c>
      <x:c r="C370" s="44" t="n">
        <x:v>133967</x:v>
      </x:c>
      <x:c r="D370" s="44" t="n">
        <x:v>11122</x:v>
      </x:c>
      <x:c r="E370" s="44" t="n">
        <x:v>21379</x:v>
      </x:c>
      <x:c r="F370" s="44" t="n">
        <x:v>2100</x:v>
      </x:c>
      <x:c r="G370" s="44" t="n">
        <x:v>1498</x:v>
      </x:c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43" t="n">
        <x:v>46203</x:v>
      </x:c>
      <x:c r="B371" s="44" t="n">
        <x:f>IF(COUNT(C371:D371)=2,SUM(C371:D371),"")</x:f>
        <x:v>170259</x:v>
      </x:c>
      <x:c r="C371" s="44" t="n">
        <x:v>157277</x:v>
      </x:c>
      <x:c r="D371" s="44" t="n">
        <x:v>12982</x:v>
      </x:c>
      <x:c r="E371" s="44" t="n">
        <x:v>21379</x:v>
      </x:c>
      <x:c r="F371" s="44" t="n">
        <x:v>2100</x:v>
      </x:c>
      <x:c r="G371" s="44" t="n">
        <x:v>1946</x:v>
      </x:c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43" t="n">
        <x:v>46204</x:v>
      </x:c>
      <x:c r="B372" s="44" t="n">
        <x:f>IF(COUNT(C372:D372)=2,SUM(C372:D372),"")</x:f>
        <x:v>162970</x:v>
      </x:c>
      <x:c r="C372" s="44" t="n">
        <x:v>150316</x:v>
      </x:c>
      <x:c r="D372" s="44" t="n">
        <x:v>12654</x:v>
      </x:c>
      <x:c r="E372" s="44" t="n">
        <x:v>21379</x:v>
      </x:c>
      <x:c r="F372" s="44" t="n">
        <x:v>2100</x:v>
      </x:c>
      <x:c r="G372" s="44" t="n">
        <x:v>2026</x:v>
      </x:c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43" t="n">
        <x:v>46205</x:v>
      </x:c>
      <x:c r="B373" s="44" t="n">
        <x:f>IF(COUNT(C373:D373)=2,SUM(C373:D373),"")</x:f>
        <x:v>150985</x:v>
      </x:c>
      <x:c r="C373" s="44" t="n">
        <x:v>139531</x:v>
      </x:c>
      <x:c r="D373" s="44" t="n">
        <x:v>11454</x:v>
      </x:c>
      <x:c r="E373" s="44" t="n">
        <x:v>21379</x:v>
      </x:c>
      <x:c r="F373" s="44" t="n">
        <x:v>2100</x:v>
      </x:c>
      <x:c r="G373" s="44" t="n">
        <x:v>2011</x:v>
      </x:c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43" t="n">
        <x:v>46206</x:v>
      </x:c>
      <x:c r="B374" s="44" t="n">
        <x:f>IF(COUNT(C374:D374)=2,SUM(C374:D374),"")</x:f>
        <x:v>156211</x:v>
      </x:c>
      <x:c r="C374" s="44" t="n">
        <x:v>144085</x:v>
      </x:c>
      <x:c r="D374" s="44" t="n">
        <x:v>12126</x:v>
      </x:c>
      <x:c r="E374" s="44" t="n">
        <x:v>21379</x:v>
      </x:c>
      <x:c r="F374" s="44" t="n">
        <x:v>2100</x:v>
      </x:c>
      <x:c r="G374" s="44" t="n">
        <x:v>2260</x:v>
      </x:c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43" t="n">
        <x:v>46207</x:v>
      </x:c>
      <x:c r="B375" s="44" t="n">
        <x:f>IF(COUNT(C375:D375)=2,SUM(C375:D375),"")</x:f>
        <x:v>156776</x:v>
      </x:c>
      <x:c r="C375" s="44" t="n">
        <x:v>142973</x:v>
      </x:c>
      <x:c r="D375" s="44" t="n">
        <x:v>13803</x:v>
      </x:c>
      <x:c r="E375" s="44" t="n">
        <x:v>21379</x:v>
      </x:c>
      <x:c r="F375" s="44" t="n">
        <x:v>2100</x:v>
      </x:c>
      <x:c r="G375" s="44" t="n">
        <x:v>2618</x:v>
      </x:c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43" t="n">
        <x:v>46208</x:v>
      </x:c>
      <x:c r="B376" s="44" t="n">
        <x:f>IF(COUNT(C376:D376)=2,SUM(C376:D376),"")</x:f>
        <x:v>138974</x:v>
      </x:c>
      <x:c r="C376" s="44" t="n">
        <x:v>126295</x:v>
      </x:c>
      <x:c r="D376" s="44" t="n">
        <x:v>12679</x:v>
      </x:c>
      <x:c r="E376" s="44" t="n">
        <x:v>21379</x:v>
      </x:c>
      <x:c r="F376" s="44" t="n">
        <x:v>2100</x:v>
      </x:c>
      <x:c r="G376" s="44" t="n">
        <x:v>2397</x:v>
      </x:c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43" t="n">
        <x:v>46209</x:v>
      </x:c>
      <x:c r="B377" s="44" t="n">
        <x:f>IF(COUNT(C377:D377)=2,SUM(C377:D377),"")</x:f>
        <x:v>146327</x:v>
      </x:c>
      <x:c r="C377" s="44" t="n">
        <x:v>134343</x:v>
      </x:c>
      <x:c r="D377" s="44" t="n">
        <x:v>11984</x:v>
      </x:c>
      <x:c r="E377" s="44" t="n">
        <x:v>21379</x:v>
      </x:c>
      <x:c r="F377" s="44" t="n">
        <x:v>2100</x:v>
      </x:c>
      <x:c r="G377" s="44" t="n">
        <x:v>2313</x:v>
      </x:c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43" t="n">
        <x:v>46210</x:v>
      </x:c>
      <x:c r="B378" s="44" t="n">
        <x:f>IF(COUNT(C378:D378)=2,SUM(C378:D378),"")</x:f>
        <x:v>157512</x:v>
      </x:c>
      <x:c r="C378" s="44" t="n">
        <x:v>145269</x:v>
      </x:c>
      <x:c r="D378" s="44" t="n">
        <x:v>12243</x:v>
      </x:c>
      <x:c r="E378" s="44" t="n">
        <x:v>21379</x:v>
      </x:c>
      <x:c r="F378" s="44" t="n">
        <x:v>2100</x:v>
      </x:c>
      <x:c r="G378" s="44" t="n">
        <x:v>2488</x:v>
      </x:c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43" t="n">
        <x:v>46211</x:v>
      </x:c>
      <x:c r="B379" s="44" t="n">
        <x:f>IF(COUNT(C379:D379)=2,SUM(C379:D379),"")</x:f>
        <x:v>165649</x:v>
      </x:c>
      <x:c r="C379" s="44" t="n">
        <x:v>153015</x:v>
      </x:c>
      <x:c r="D379" s="44" t="n">
        <x:v>12634</x:v>
      </x:c>
      <x:c r="E379" s="44" t="n">
        <x:v>21379</x:v>
      </x:c>
      <x:c r="F379" s="44" t="n">
        <x:v>2100</x:v>
      </x:c>
      <x:c r="G379" s="44" t="n">
        <x:v>2606</x:v>
      </x:c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43" t="n">
        <x:v>46212</x:v>
      </x:c>
      <x:c r="B380" s="44" t="n">
        <x:f>IF(COUNT(C380:D380)=2,SUM(C380:D380),"")</x:f>
        <x:v>169073</x:v>
      </x:c>
      <x:c r="C380" s="44" t="n">
        <x:v>155536</x:v>
      </x:c>
      <x:c r="D380" s="44" t="n">
        <x:v>13537</x:v>
      </x:c>
      <x:c r="E380" s="44" t="n">
        <x:v>21379</x:v>
      </x:c>
      <x:c r="F380" s="44" t="n">
        <x:v>2100</x:v>
      </x:c>
      <x:c r="G380" s="44" t="n">
        <x:v>2664</x:v>
      </x:c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43" t="n">
        <x:v>46213</x:v>
      </x:c>
      <x:c r="B381" s="44" t="n">
        <x:f>IF(COUNT(C381:D381)=2,SUM(C381:D381),"")</x:f>
        <x:v>9474</x:v>
      </x:c>
      <x:c r="C381" s="44" t="n">
        <x:v>8247</x:v>
      </x:c>
      <x:c r="D381" s="44" t="n">
        <x:v>1227</x:v>
      </x:c>
      <x:c r="E381" s="44" t="n">
        <x:v>21379</x:v>
      </x:c>
      <x:c r="F381" s="44" t="n">
        <x:v>2100</x:v>
      </x:c>
      <x:c r="G381" s="44" t="n">
        <x:v>360</x:v>
      </x:c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43" t="n">
        <x:v>46214</x:v>
      </x:c>
      <x:c r="B382" s="44" t="n">
        <x:f>IF(COUNT(C382:D382)=2,SUM(C382:D382),"")</x:f>
        <x:v>0</x:v>
      </x:c>
      <x:c r="C382" s="44" t="n">
        <x:v>0</x:v>
      </x:c>
      <x:c r="D382" s="44" t="n">
        <x:v>0</x:v>
      </x:c>
      <x:c r="E382" s="44" t="n">
        <x:v>21379</x:v>
      </x:c>
      <x:c r="F382" s="44" t="n">
        <x:v>2100</x:v>
      </x:c>
      <x:c r="G382" s="44" t="n">
        <x:v>0</x:v>
      </x:c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43" t="n">
        <x:v>46215</x:v>
      </x:c>
      <x:c r="B383" s="44" t="n">
        <x:f>IF(COUNT(C383:D383)=2,SUM(C383:D383),"")</x:f>
        <x:v>131069</x:v>
      </x:c>
      <x:c r="C383" s="44" t="n">
        <x:v>120200</x:v>
      </x:c>
      <x:c r="D383" s="44" t="n">
        <x:v>10869</x:v>
      </x:c>
      <x:c r="E383" s="44" t="n">
        <x:v>21379</x:v>
      </x:c>
      <x:c r="F383" s="44" t="n">
        <x:v>2100</x:v>
      </x:c>
      <x:c r="G383" s="44" t="n">
        <x:v>2032</x:v>
      </x:c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43" t="n">
        <x:v>46216</x:v>
      </x:c>
      <x:c r="B384" s="44" t="n">
        <x:f>IF(COUNT(C384:D384)=2,SUM(C384:D384),"")</x:f>
        <x:v>112482</x:v>
      </x:c>
      <x:c r="C384" s="44" t="n">
        <x:v>103446</x:v>
      </x:c>
      <x:c r="D384" s="44" t="n">
        <x:v>9036</x:v>
      </x:c>
      <x:c r="E384" s="44" t="n">
        <x:v>21379</x:v>
      </x:c>
      <x:c r="F384" s="44" t="n">
        <x:v>2100</x:v>
      </x:c>
      <x:c r="G384" s="44" t="n">
        <x:v>2134</x:v>
      </x:c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43" t="n">
        <x:v>46217</x:v>
      </x:c>
      <x:c r="B385" s="44" t="n">
        <x:f>IF(COUNT(C385:D385)=2,SUM(C385:D385),"")</x:f>
        <x:v>147493</x:v>
      </x:c>
      <x:c r="C385" s="44" t="n">
        <x:v>136521</x:v>
      </x:c>
      <x:c r="D385" s="44" t="n">
        <x:v>10972</x:v>
      </x:c>
      <x:c r="E385" s="44" t="n">
        <x:v>21379</x:v>
      </x:c>
      <x:c r="F385" s="44" t="n">
        <x:v>2100</x:v>
      </x:c>
      <x:c r="G385" s="44" t="n">
        <x:v>2373</x:v>
      </x:c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43" t="n">
        <x:v>46218</x:v>
      </x:c>
      <x:c r="B386" s="44" t="n">
        <x:f>IF(COUNT(C386:D386)=2,SUM(C386:D386),"")</x:f>
        <x:v>152425</x:v>
      </x:c>
      <x:c r="C386" s="44" t="n">
        <x:v>140364</x:v>
      </x:c>
      <x:c r="D386" s="44" t="n">
        <x:v>12061</x:v>
      </x:c>
      <x:c r="E386" s="44" t="n">
        <x:v>21379</x:v>
      </x:c>
      <x:c r="F386" s="44" t="n">
        <x:v>2100</x:v>
      </x:c>
      <x:c r="G386" s="44" t="n">
        <x:v>2841</x:v>
      </x:c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43" t="n">
        <x:v>46219</x:v>
      </x:c>
      <x:c r="B387" s="44" t="n">
        <x:f>IF(COUNT(C387:D387)=2,SUM(C387:D387),"")</x:f>
        <x:v>157790</x:v>
      </x:c>
      <x:c r="C387" s="44" t="n">
        <x:v>146035</x:v>
      </x:c>
      <x:c r="D387" s="44" t="n">
        <x:v>11755</x:v>
      </x:c>
      <x:c r="E387" s="44" t="n">
        <x:v>21379</x:v>
      </x:c>
      <x:c r="F387" s="44" t="n">
        <x:v>2100</x:v>
      </x:c>
      <x:c r="G387" s="44" t="n">
        <x:v>2657</x:v>
      </x:c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43" t="n">
        <x:v>46220</x:v>
      </x:c>
      <x:c r="B388" s="44" t="n">
        <x:f>IF(COUNT(C388:D388)=2,SUM(C388:D388),"")</x:f>
        <x:v>158597</x:v>
      </x:c>
      <x:c r="C388" s="44" t="n">
        <x:v>146536</x:v>
      </x:c>
      <x:c r="D388" s="44" t="n">
        <x:v>12061</x:v>
      </x:c>
      <x:c r="E388" s="44" t="n">
        <x:v>21379</x:v>
      </x:c>
      <x:c r="F388" s="44" t="n">
        <x:v>2100</x:v>
      </x:c>
      <x:c r="G388" s="44" t="n">
        <x:v>2712</x:v>
      </x:c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43" t="n">
        <x:v>46221</x:v>
      </x:c>
      <x:c r="B389" s="44" t="n">
        <x:f>IF(COUNT(C389:D389)=2,SUM(C389:D389),"")</x:f>
        <x:v>151630</x:v>
      </x:c>
      <x:c r="C389" s="44" t="n">
        <x:v>138340</x:v>
      </x:c>
      <x:c r="D389" s="44" t="n">
        <x:v>13290</x:v>
      </x:c>
      <x:c r="E389" s="44" t="n">
        <x:v>21379</x:v>
      </x:c>
      <x:c r="F389" s="44" t="n">
        <x:v>2100</x:v>
      </x:c>
      <x:c r="G389" s="44" t="n">
        <x:v>2836</x:v>
      </x:c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43" t="n">
        <x:v>46222</x:v>
      </x:c>
      <x:c r="B390" s="44" t="n">
        <x:f>IF(COUNT(C390:D390)=2,SUM(C390:D390),"")</x:f>
        <x:v>104636</x:v>
      </x:c>
      <x:c r="C390" s="44" t="n">
        <x:v>94764</x:v>
      </x:c>
      <x:c r="D390" s="44" t="n">
        <x:v>9872</x:v>
      </x:c>
      <x:c r="E390" s="44" t="n">
        <x:v>21379</x:v>
      </x:c>
      <x:c r="F390" s="44" t="n">
        <x:v>2100</x:v>
      </x:c>
      <x:c r="G390" s="44" t="n">
        <x:v>2198</x:v>
      </x:c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43" t="n">
        <x:v>46223</x:v>
      </x:c>
      <x:c r="B391" s="44" t="n">
        <x:f>IF(COUNT(C391:D391)=2,SUM(C391:D391),"")</x:f>
        <x:v>123380</x:v>
      </x:c>
      <x:c r="C391" s="44" t="n">
        <x:v>112937</x:v>
      </x:c>
      <x:c r="D391" s="44" t="n">
        <x:v>10443</x:v>
      </x:c>
      <x:c r="E391" s="44" t="n">
        <x:v>21379</x:v>
      </x:c>
      <x:c r="F391" s="44" t="n">
        <x:v>2100</x:v>
      </x:c>
      <x:c r="G391" s="44" t="n">
        <x:v>2376</x:v>
      </x:c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43" t="n">
        <x:v>46224</x:v>
      </x:c>
      <x:c r="B392" s="44" t="n">
        <x:f>IF(COUNT(C392:D392)=2,SUM(C392:D392),"")</x:f>
        <x:v>130535</x:v>
      </x:c>
      <x:c r="C392" s="44" t="n">
        <x:v>119519</x:v>
      </x:c>
      <x:c r="D392" s="44" t="n">
        <x:v>11016</x:v>
      </x:c>
      <x:c r="E392" s="44" t="n">
        <x:v>21379</x:v>
      </x:c>
      <x:c r="F392" s="44" t="n">
        <x:v>2100</x:v>
      </x:c>
      <x:c r="G392" s="44" t="n">
        <x:v>2501</x:v>
      </x:c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43" t="n">
        <x:v>46225</x:v>
      </x:c>
      <x:c r="B393" s="44" t="n">
        <x:f>IF(COUNT(C393:D393)=2,SUM(C393:D393),"")</x:f>
        <x:v>159458</x:v>
      </x:c>
      <x:c r="C393" s="44" t="n">
        <x:v>146109</x:v>
      </x:c>
      <x:c r="D393" s="44" t="n">
        <x:v>13349</x:v>
      </x:c>
      <x:c r="E393" s="44" t="n">
        <x:v>21379</x:v>
      </x:c>
      <x:c r="F393" s="44" t="n">
        <x:v>2100</x:v>
      </x:c>
      <x:c r="G393" s="44" t="n">
        <x:v>3021</x:v>
      </x:c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43" t="n">
        <x:v>46226</x:v>
      </x:c>
      <x:c r="B394" s="44" t="n">
        <x:f>IF(COUNT(C394:D394)=2,SUM(C394:D394),"")</x:f>
        <x:v>161184</x:v>
      </x:c>
      <x:c r="C394" s="44" t="n">
        <x:v>148321</x:v>
      </x:c>
      <x:c r="D394" s="44" t="n">
        <x:v>12863</x:v>
      </x:c>
      <x:c r="E394" s="44" t="n">
        <x:v>21379</x:v>
      </x:c>
      <x:c r="F394" s="44" t="n">
        <x:v>2100</x:v>
      </x:c>
      <x:c r="G394" s="44" t="n">
        <x:v>3055</x:v>
      </x:c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43" t="n">
        <x:v>46227</x:v>
      </x:c>
      <x:c r="B395" s="44" t="n">
        <x:f>IF(COUNT(C395:D395)=2,SUM(C395:D395),"")</x:f>
        <x:v>165705</x:v>
      </x:c>
      <x:c r="C395" s="44" t="n">
        <x:v>152131</x:v>
      </x:c>
      <x:c r="D395" s="44" t="n">
        <x:v>13574</x:v>
      </x:c>
      <x:c r="E395" s="44" t="n">
        <x:v>21379</x:v>
      </x:c>
      <x:c r="F395" s="44" t="n">
        <x:v>2100</x:v>
      </x:c>
      <x:c r="G395" s="44" t="n">
        <x:v>3121</x:v>
      </x:c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43" t="n">
        <x:v>46228</x:v>
      </x:c>
      <x:c r="B396" s="44" t="n">
        <x:f>IF(COUNT(C396:D396)=2,SUM(C396:D396),"")</x:f>
        <x:v>157669</x:v>
      </x:c>
      <x:c r="C396" s="44" t="n">
        <x:v>143439</x:v>
      </x:c>
      <x:c r="D396" s="44" t="n">
        <x:v>14230</x:v>
      </x:c>
      <x:c r="E396" s="44" t="n">
        <x:v>21379</x:v>
      </x:c>
      <x:c r="F396" s="44" t="n">
        <x:v>2100</x:v>
      </x:c>
      <x:c r="G396" s="44" t="n">
        <x:v>3020</x:v>
      </x:c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43" t="n">
        <x:v>46229</x:v>
      </x:c>
      <x:c r="B397" s="44" t="n">
        <x:f>IF(COUNT(C397:D397)=2,SUM(C397:D397),"")</x:f>
        <x:v>143885</x:v>
      </x:c>
      <x:c r="C397" s="44" t="n">
        <x:v>130677</x:v>
      </x:c>
      <x:c r="D397" s="44" t="n">
        <x:v>13208</x:v>
      </x:c>
      <x:c r="E397" s="44" t="n">
        <x:v>21379</x:v>
      </x:c>
      <x:c r="F397" s="44" t="n">
        <x:v>2100</x:v>
      </x:c>
      <x:c r="G397" s="44" t="n">
        <x:v>2996</x:v>
      </x:c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43" t="n">
        <x:v>46230</x:v>
      </x:c>
      <x:c r="B398" s="44" t="n">
        <x:f>IF(COUNT(C398:D398)=2,SUM(C398:D398),"")</x:f>
        <x:v>141525</x:v>
      </x:c>
      <x:c r="C398" s="44" t="n">
        <x:v>129662</x:v>
      </x:c>
      <x:c r="D398" s="44" t="n">
        <x:v>11863</x:v>
      </x:c>
      <x:c r="E398" s="44" t="n">
        <x:v>21379</x:v>
      </x:c>
      <x:c r="F398" s="44" t="n">
        <x:v>2100</x:v>
      </x:c>
      <x:c r="G398" s="44" t="n">
        <x:v>3008</x:v>
      </x:c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43" t="n">
        <x:v>46231</x:v>
      </x:c>
      <x:c r="B399" s="44" t="n">
        <x:f>IF(COUNT(C399:D399)=2,SUM(C399:D399),"")</x:f>
        <x:v>153587</x:v>
      </x:c>
      <x:c r="C399" s="44" t="n">
        <x:v>140782</x:v>
      </x:c>
      <x:c r="D399" s="44" t="n">
        <x:v>12805</x:v>
      </x:c>
      <x:c r="E399" s="44" t="n">
        <x:v>21379</x:v>
      </x:c>
      <x:c r="F399" s="44" t="n">
        <x:v>2100</x:v>
      </x:c>
      <x:c r="G399" s="44" t="n">
        <x:v>3184</x:v>
      </x:c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43" t="n">
        <x:v>46232</x:v>
      </x:c>
      <x:c r="B400" s="44" t="n">
        <x:f>IF(COUNT(C400:D400)=2,SUM(C400:D400),"")</x:f>
        <x:v>160823</x:v>
      </x:c>
      <x:c r="C400" s="44" t="n">
        <x:v>147392</x:v>
      </x:c>
      <x:c r="D400" s="44" t="n">
        <x:v>13431</x:v>
      </x:c>
      <x:c r="E400" s="44" t="n">
        <x:v>21379</x:v>
      </x:c>
      <x:c r="F400" s="44" t="n">
        <x:v>2100</x:v>
      </x:c>
      <x:c r="G400" s="44" t="n">
        <x:v>3405</x:v>
      </x:c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43" t="n">
        <x:v>46233</x:v>
      </x:c>
      <x:c r="B401" s="44" t="n">
        <x:f>IF(COUNT(C401:D401)=2,SUM(C401:D401),"")</x:f>
        <x:v>163110</x:v>
      </x:c>
      <x:c r="C401" s="44" t="n">
        <x:v>149355</x:v>
      </x:c>
      <x:c r="D401" s="44" t="n">
        <x:v>13755</x:v>
      </x:c>
      <x:c r="E401" s="44" t="n">
        <x:v>21379</x:v>
      </x:c>
      <x:c r="F401" s="44" t="n">
        <x:v>2100</x:v>
      </x:c>
      <x:c r="G401" s="44" t="n">
        <x:v>3473</x:v>
      </x:c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43" t="n">
        <x:v>46234</x:v>
      </x:c>
      <x:c r="B402" s="44" t="n">
        <x:f>IF(COUNT(C402:D402)=2,SUM(C402:D402),"")</x:f>
        <x:v>168188</x:v>
      </x:c>
      <x:c r="C402" s="44" t="n">
        <x:v>154039</x:v>
      </x:c>
      <x:c r="D402" s="44" t="n">
        <x:v>14149</x:v>
      </x:c>
      <x:c r="E402" s="44" t="n">
        <x:v>21379</x:v>
      </x:c>
      <x:c r="F402" s="44" t="n">
        <x:v>2100</x:v>
      </x:c>
      <x:c r="G402" s="44" t="n">
        <x:v>3632</x:v>
      </x:c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43" t="n">
        <x:v>46235</x:v>
      </x:c>
      <x:c r="B403" s="44" t="n">
        <x:f>IF(COUNT(C403:D403)=2,SUM(C403:D403),"")</x:f>
        <x:v>157650</x:v>
      </x:c>
      <x:c r="C403" s="44" t="n">
        <x:v>143347</x:v>
      </x:c>
      <x:c r="D403" s="44" t="n">
        <x:v>14303</x:v>
      </x:c>
      <x:c r="E403" s="44" t="n">
        <x:v>21379</x:v>
      </x:c>
      <x:c r="F403" s="44" t="n">
        <x:v>2100</x:v>
      </x:c>
      <x:c r="G403" s="44" t="n">
        <x:v>3238</x:v>
      </x:c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43" t="n">
        <x:v>46236</x:v>
      </x:c>
      <x:c r="B404" s="44" t="n">
        <x:f>IF(COUNT(C404:D404)=2,SUM(C404:D404),"")</x:f>
        <x:v>142597</x:v>
      </x:c>
      <x:c r="C404" s="44" t="n">
        <x:v>128820</x:v>
      </x:c>
      <x:c r="D404" s="44" t="n">
        <x:v>13777</x:v>
      </x:c>
      <x:c r="E404" s="44" t="n">
        <x:v>21379</x:v>
      </x:c>
      <x:c r="F404" s="44" t="n">
        <x:v>2100</x:v>
      </x:c>
      <x:c r="G404" s="44" t="n">
        <x:v>3117</x:v>
      </x:c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43" t="n">
        <x:v>46237</x:v>
      </x:c>
      <x:c r="B405" s="44" t="n">
        <x:f>IF(COUNT(C405:D405)=2,SUM(C405:D405),"")</x:f>
        <x:v>157111</x:v>
      </x:c>
      <x:c r="C405" s="44" t="n">
        <x:v>143379</x:v>
      </x:c>
      <x:c r="D405" s="44" t="n">
        <x:v>13732</x:v>
      </x:c>
      <x:c r="E405" s="44" t="n">
        <x:v>21379</x:v>
      </x:c>
      <x:c r="F405" s="44" t="n">
        <x:v>2100</x:v>
      </x:c>
      <x:c r="G405" s="44" t="n">
        <x:v>3360</x:v>
      </x:c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43" t="n">
        <x:v>46238</x:v>
      </x:c>
      <x:c r="B406" s="44" t="n">
        <x:f>IF(COUNT(C406:D406)=2,SUM(C406:D406),"")</x:f>
        <x:v>161807</x:v>
      </x:c>
      <x:c r="C406" s="44" t="n">
        <x:v>147404</x:v>
      </x:c>
      <x:c r="D406" s="44" t="n">
        <x:v>14403</x:v>
      </x:c>
      <x:c r="E406" s="44" t="n">
        <x:v>21379</x:v>
      </x:c>
      <x:c r="F406" s="44" t="n">
        <x:v>2100</x:v>
      </x:c>
      <x:c r="G406" s="44" t="n">
        <x:v>3509</x:v>
      </x:c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43" t="n">
        <x:v>46239</x:v>
      </x:c>
      <x:c r="B407" s="44" t="n">
        <x:f>IF(COUNT(C407:D407)=2,SUM(C407:D407),"")</x:f>
        <x:v>166795</x:v>
      </x:c>
      <x:c r="C407" s="44" t="n">
        <x:v>152845</x:v>
      </x:c>
      <x:c r="D407" s="44" t="n">
        <x:v>13950</x:v>
      </x:c>
      <x:c r="E407" s="44" t="n">
        <x:v>21379</x:v>
      </x:c>
      <x:c r="F407" s="44" t="n">
        <x:v>2100</x:v>
      </x:c>
      <x:c r="G407" s="44" t="n">
        <x:v>3440</x:v>
      </x:c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43" t="n">
        <x:v>46240</x:v>
      </x:c>
      <x:c r="B408" s="44" t="n">
        <x:f>IF(COUNT(C408:D408)=2,SUM(C408:D408),"")</x:f>
        <x:v>158424</x:v>
      </x:c>
      <x:c r="C408" s="44" t="n">
        <x:v>145387</x:v>
      </x:c>
      <x:c r="D408" s="44" t="n">
        <x:v>13037</x:v>
      </x:c>
      <x:c r="E408" s="44" t="n">
        <x:v>21379</x:v>
      </x:c>
      <x:c r="F408" s="44" t="n">
        <x:v>2100</x:v>
      </x:c>
      <x:c r="G408" s="44" t="n">
        <x:v>3247</x:v>
      </x:c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43" t="n">
        <x:v>46241</x:v>
      </x:c>
      <x:c r="B409" s="44" t="n">
        <x:f>IF(COUNT(C409:D409)=2,SUM(C409:D409),"")</x:f>
        <x:v>167487</x:v>
      </x:c>
      <x:c r="C409" s="44" t="n">
        <x:v>153608</x:v>
      </x:c>
      <x:c r="D409" s="44" t="n">
        <x:v>13879</x:v>
      </x:c>
      <x:c r="E409" s="44" t="n">
        <x:v>21379</x:v>
      </x:c>
      <x:c r="F409" s="44" t="n">
        <x:v>2100</x:v>
      </x:c>
      <x:c r="G409" s="44" t="n">
        <x:v>3188</x:v>
      </x:c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43" t="n">
        <x:v>46242</x:v>
      </x:c>
      <x:c r="B410" s="44" t="n">
        <x:f>IF(COUNT(C410:D410)=2,SUM(C410:D410),"")</x:f>
        <x:v>108509</x:v>
      </x:c>
      <x:c r="C410" s="44" t="n">
        <x:v>99050</x:v>
      </x:c>
      <x:c r="D410" s="44" t="n">
        <x:v>9459</x:v>
      </x:c>
      <x:c r="E410" s="44" t="n">
        <x:v>21379</x:v>
      </x:c>
      <x:c r="F410" s="44" t="n">
        <x:v>2100</x:v>
      </x:c>
      <x:c r="G410" s="44" t="n">
        <x:v>2574</x:v>
      </x:c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43" t="n">
        <x:v>46243</x:v>
      </x:c>
      <x:c r="B411" s="44" t="n">
        <x:f>IF(COUNT(C411:D411)=2,SUM(C411:D411),"")</x:f>
        <x:v>61676</x:v>
      </x:c>
      <x:c r="C411" s="44" t="n">
        <x:v>56087</x:v>
      </x:c>
      <x:c r="D411" s="44" t="n">
        <x:v>5589</x:v>
      </x:c>
      <x:c r="E411" s="44" t="n">
        <x:v>21379</x:v>
      </x:c>
      <x:c r="F411" s="44" t="n">
        <x:v>2100</x:v>
      </x:c>
      <x:c r="G411" s="44" t="n">
        <x:v>1161</x:v>
      </x:c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43" t="n">
        <x:v>46244</x:v>
      </x:c>
      <x:c r="B412" s="44" t="n">
        <x:f>IF(COUNT(C412:D412)=2,SUM(C412:D412),"")</x:f>
        <x:v>133943</x:v>
      </x:c>
      <x:c r="C412" s="44" t="n">
        <x:v>122148</x:v>
      </x:c>
      <x:c r="D412" s="44" t="n">
        <x:v>11795</x:v>
      </x:c>
      <x:c r="E412" s="44" t="n">
        <x:v>21379</x:v>
      </x:c>
      <x:c r="F412" s="44" t="n">
        <x:v>2100</x:v>
      </x:c>
      <x:c r="G412" s="44" t="n">
        <x:v>3246</x:v>
      </x:c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43" t="n">
        <x:v>46245</x:v>
      </x:c>
      <x:c r="B413" s="44" t="n">
        <x:f>IF(COUNT(C413:D413)=2,SUM(C413:D413),"")</x:f>
        <x:v>158308</x:v>
      </x:c>
      <x:c r="C413" s="44" t="n">
        <x:v>144530</x:v>
      </x:c>
      <x:c r="D413" s="44" t="n">
        <x:v>13778</x:v>
      </x:c>
      <x:c r="E413" s="44" t="n">
        <x:v>21379</x:v>
      </x:c>
      <x:c r="F413" s="44" t="n">
        <x:v>2100</x:v>
      </x:c>
      <x:c r="G413" s="44" t="n">
        <x:v>3526</x:v>
      </x:c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43" t="n">
        <x:v>46246</x:v>
      </x:c>
      <x:c r="B414" s="44" t="n">
        <x:f>IF(COUNT(C414:D414)=2,SUM(C414:D414),"")</x:f>
        <x:v>164712</x:v>
      </x:c>
      <x:c r="C414" s="44" t="n">
        <x:v>150824</x:v>
      </x:c>
      <x:c r="D414" s="44" t="n">
        <x:v>13888</x:v>
      </x:c>
      <x:c r="E414" s="44" t="n">
        <x:v>21379</x:v>
      </x:c>
      <x:c r="F414" s="44" t="n">
        <x:v>2100</x:v>
      </x:c>
      <x:c r="G414" s="44" t="n">
        <x:v>3550</x:v>
      </x:c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43" t="n">
        <x:v>46247</x:v>
      </x:c>
      <x:c r="B415" s="44" t="n">
        <x:f>IF(COUNT(C415:D415)=2,SUM(C415:D415),"")</x:f>
        <x:v>161449</x:v>
      </x:c>
      <x:c r="C415" s="44" t="n">
        <x:v>148192</x:v>
      </x:c>
      <x:c r="D415" s="44" t="n">
        <x:v>13257</x:v>
      </x:c>
      <x:c r="E415" s="44" t="n">
        <x:v>21379</x:v>
      </x:c>
      <x:c r="F415" s="44" t="n">
        <x:v>2100</x:v>
      </x:c>
      <x:c r="G415" s="44" t="n">
        <x:v>3304</x:v>
      </x:c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43" t="n">
        <x:v>46248</x:v>
      </x:c>
      <x:c r="B416" s="44" t="n">
        <x:f>IF(COUNT(C416:D416)=2,SUM(C416:D416),"")</x:f>
        <x:v>160013</x:v>
      </x:c>
      <x:c r="C416" s="44" t="n">
        <x:v>147189</x:v>
      </x:c>
      <x:c r="D416" s="44" t="n">
        <x:v>12824</x:v>
      </x:c>
      <x:c r="E416" s="44" t="n">
        <x:v>21379</x:v>
      </x:c>
      <x:c r="F416" s="44" t="n">
        <x:v>2100</x:v>
      </x:c>
      <x:c r="G416" s="44" t="n">
        <x:v>3314</x:v>
      </x:c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43" t="n">
        <x:v>46249</x:v>
      </x:c>
      <x:c r="B417" s="44" t="n">
        <x:f>IF(COUNT(C417:D417)=2,SUM(C417:D417),"")</x:f>
        <x:v>135789</x:v>
      </x:c>
      <x:c r="C417" s="44" t="n">
        <x:v>123622</x:v>
      </x:c>
      <x:c r="D417" s="44" t="n">
        <x:v>12167</x:v>
      </x:c>
      <x:c r="E417" s="44" t="n">
        <x:v>21379</x:v>
      </x:c>
      <x:c r="F417" s="44" t="n">
        <x:v>2100</x:v>
      </x:c>
      <x:c r="G417" s="44" t="n">
        <x:v>2913</x:v>
      </x:c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43" t="n">
        <x:v>46250</x:v>
      </x:c>
      <x:c r="B418" s="44" t="n">
        <x:f>IF(COUNT(C418:D418)=2,SUM(C418:D418),"")</x:f>
        <x:v>120249</x:v>
      </x:c>
      <x:c r="C418" s="44" t="n">
        <x:v>109042</x:v>
      </x:c>
      <x:c r="D418" s="44" t="n">
        <x:v>11207</x:v>
      </x:c>
      <x:c r="E418" s="44" t="n">
        <x:v>21379</x:v>
      </x:c>
      <x:c r="F418" s="44" t="n">
        <x:v>2100</x:v>
      </x:c>
      <x:c r="G418" s="44" t="n">
        <x:v>2669</x:v>
      </x:c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43" t="n">
        <x:v>46251</x:v>
      </x:c>
      <x:c r="B419" s="44" t="n">
        <x:f>IF(COUNT(C419:D419)=2,SUM(C419:D419),"")</x:f>
        <x:v>159672</x:v>
      </x:c>
      <x:c r="C419" s="44" t="n">
        <x:v>146271</x:v>
      </x:c>
      <x:c r="D419" s="44" t="n">
        <x:v>13401</x:v>
      </x:c>
      <x:c r="E419" s="44" t="n">
        <x:v>21379</x:v>
      </x:c>
      <x:c r="F419" s="44" t="n">
        <x:v>2100</x:v>
      </x:c>
      <x:c r="G419" s="44" t="n">
        <x:v>3381</x:v>
      </x:c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43" t="n">
        <x:v>46252</x:v>
      </x:c>
      <x:c r="B420" s="44" t="n">
        <x:f>IF(COUNT(C420:D420)=2,SUM(C420:D420),"")</x:f>
        <x:v>157465</x:v>
      </x:c>
      <x:c r="C420" s="44" t="n">
        <x:v>144498</x:v>
      </x:c>
      <x:c r="D420" s="44" t="n">
        <x:v>12967</x:v>
      </x:c>
      <x:c r="E420" s="44" t="n">
        <x:v>21379</x:v>
      </x:c>
      <x:c r="F420" s="44" t="n">
        <x:v>2100</x:v>
      </x:c>
      <x:c r="G420" s="44" t="n">
        <x:v>3321</x:v>
      </x:c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43" t="n">
        <x:v>46253</x:v>
      </x:c>
      <x:c r="B421" s="44" t="n">
        <x:f>IF(COUNT(C421:D421)=2,SUM(C421:D421),"")</x:f>
        <x:v>117801</x:v>
      </x:c>
      <x:c r="C421" s="44" t="n">
        <x:v>108135</x:v>
      </x:c>
      <x:c r="D421" s="44" t="n">
        <x:v>9666</x:v>
      </x:c>
      <x:c r="E421" s="44" t="n">
        <x:v>21379</x:v>
      </x:c>
      <x:c r="F421" s="44" t="n">
        <x:v>2100</x:v>
      </x:c>
      <x:c r="G421" s="44" t="n">
        <x:v>2789</x:v>
      </x:c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43" t="n">
        <x:v>46254</x:v>
      </x:c>
      <x:c r="B422" s="44" t="n">
        <x:f>IF(COUNT(C422:D422)=2,SUM(C422:D422),"")</x:f>
        <x:v>106028</x:v>
      </x:c>
      <x:c r="C422" s="44" t="n">
        <x:v>96656</x:v>
      </x:c>
      <x:c r="D422" s="44" t="n">
        <x:v>9372</x:v>
      </x:c>
      <x:c r="E422" s="44" t="n">
        <x:v>21379</x:v>
      </x:c>
      <x:c r="F422" s="44" t="n">
        <x:v>2100</x:v>
      </x:c>
      <x:c r="G422" s="44" t="n">
        <x:v>2512</x:v>
      </x:c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43" t="n">
        <x:v>46255</x:v>
      </x:c>
      <x:c r="B423" s="44" t="n">
        <x:f>IF(COUNT(C423:D423)=2,SUM(C423:D423),"")</x:f>
        <x:v>97606</x:v>
      </x:c>
      <x:c r="C423" s="44" t="n">
        <x:v>88258</x:v>
      </x:c>
      <x:c r="D423" s="44" t="n">
        <x:v>9348</x:v>
      </x:c>
      <x:c r="E423" s="44" t="n">
        <x:v>21379</x:v>
      </x:c>
      <x:c r="F423" s="44" t="n">
        <x:v>2100</x:v>
      </x:c>
      <x:c r="G423" s="44" t="n">
        <x:v>2562</x:v>
      </x:c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43" t="n">
        <x:v>46256</x:v>
      </x:c>
      <x:c r="B424" s="44" t="n">
        <x:f>IF(COUNT(C424:D424)=2,SUM(C424:D424),"")</x:f>
        <x:v>102593</x:v>
      </x:c>
      <x:c r="C424" s="44" t="n">
        <x:v>92998</x:v>
      </x:c>
      <x:c r="D424" s="44" t="n">
        <x:v>9595</x:v>
      </x:c>
      <x:c r="E424" s="44" t="n">
        <x:v>21379</x:v>
      </x:c>
      <x:c r="F424" s="44" t="n">
        <x:v>2100</x:v>
      </x:c>
      <x:c r="G424" s="44" t="n">
        <x:v>2569</x:v>
      </x:c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43" t="n">
        <x:v>46257</x:v>
      </x:c>
      <x:c r="B425" s="44" t="n">
        <x:f>IF(COUNT(C425:D425)=2,SUM(C425:D425),"")</x:f>
        <x:v>138946</x:v>
      </x:c>
      <x:c r="C425" s="44" t="n">
        <x:v>126312</x:v>
      </x:c>
      <x:c r="D425" s="44" t="n">
        <x:v>12634</x:v>
      </x:c>
      <x:c r="E425" s="44" t="n">
        <x:v>21379</x:v>
      </x:c>
      <x:c r="F425" s="44" t="n">
        <x:v>2100</x:v>
      </x:c>
      <x:c r="G425" s="44" t="n">
        <x:v>3244</x:v>
      </x:c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43" t="n">
        <x:v>46258</x:v>
      </x:c>
      <x:c r="B426" s="44" t="n">
        <x:f>IF(COUNT(C426:D426)=2,SUM(C426:D426),"")</x:f>
        <x:v>72841</x:v>
      </x:c>
      <x:c r="C426" s="44" t="n">
        <x:v>66063</x:v>
      </x:c>
      <x:c r="D426" s="44" t="n">
        <x:v>6778</x:v>
      </x:c>
      <x:c r="E426" s="44" t="n">
        <x:v>21379</x:v>
      </x:c>
      <x:c r="F426" s="44" t="n">
        <x:v>2100</x:v>
      </x:c>
      <x:c r="G426" s="44" t="n">
        <x:v>1904</x:v>
      </x:c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43" t="n">
        <x:v>46259</x:v>
      </x:c>
      <x:c r="B427" s="44" t="n">
        <x:f>IF(COUNT(C427:D427)=2,SUM(C427:D427),"")</x:f>
        <x:v>99391</x:v>
      </x:c>
      <x:c r="C427" s="44" t="n">
        <x:v>90226</x:v>
      </x:c>
      <x:c r="D427" s="44" t="n">
        <x:v>9165</x:v>
      </x:c>
      <x:c r="E427" s="44" t="n">
        <x:v>21379</x:v>
      </x:c>
      <x:c r="F427" s="44" t="n">
        <x:v>2100</x:v>
      </x:c>
      <x:c r="G427" s="44" t="n">
        <x:v>2626</x:v>
      </x:c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43" t="n">
        <x:v>46260</x:v>
      </x:c>
      <x:c r="B428" s="44" t="n">
        <x:f>IF(COUNT(C428:D428)=2,SUM(C428:D428),"")</x:f>
        <x:v>166134</x:v>
      </x:c>
      <x:c r="C428" s="44" t="n">
        <x:v>151026</x:v>
      </x:c>
      <x:c r="D428" s="44" t="n">
        <x:v>15108</x:v>
      </x:c>
      <x:c r="E428" s="44" t="n">
        <x:v>21379</x:v>
      </x:c>
      <x:c r="F428" s="44" t="n">
        <x:v>2100</x:v>
      </x:c>
      <x:c r="G428" s="44" t="n">
        <x:v>3975</x:v>
      </x:c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43" t="n">
        <x:v>46261</x:v>
      </x:c>
      <x:c r="B429" s="44" t="n">
        <x:f>IF(COUNT(C429:D429)=2,SUM(C429:D429),"")</x:f>
        <x:v>161653</x:v>
      </x:c>
      <x:c r="C429" s="44" t="n">
        <x:v>146807</x:v>
      </x:c>
      <x:c r="D429" s="44" t="n">
        <x:v>14846</x:v>
      </x:c>
      <x:c r="E429" s="44" t="n">
        <x:v>21379</x:v>
      </x:c>
      <x:c r="F429" s="44" t="n">
        <x:v>2100</x:v>
      </x:c>
      <x:c r="G429" s="44" t="n">
        <x:v>3971</x:v>
      </x:c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43" t="n">
        <x:v>46262</x:v>
      </x:c>
      <x:c r="B430" s="44" t="n">
        <x:f>IF(COUNT(C430:D430)=2,SUM(C430:D430),"")</x:f>
        <x:v>170958</x:v>
      </x:c>
      <x:c r="C430" s="44" t="n">
        <x:v>155100</x:v>
      </x:c>
      <x:c r="D430" s="44" t="n">
        <x:v>15858</x:v>
      </x:c>
      <x:c r="E430" s="44" t="n">
        <x:v>21379</x:v>
      </x:c>
      <x:c r="F430" s="44" t="n">
        <x:v>2100</x:v>
      </x:c>
      <x:c r="G430" s="44" t="n">
        <x:v>4292</x:v>
      </x:c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43" t="n">
        <x:v>46263</x:v>
      </x:c>
      <x:c r="B431" s="44" t="n">
        <x:f>IF(COUNT(C431:D431)=2,SUM(C431:D431),"")</x:f>
        <x:v>123849</x:v>
      </x:c>
      <x:c r="C431" s="44" t="n">
        <x:v>110954</x:v>
      </x:c>
      <x:c r="D431" s="44" t="n">
        <x:v>12895</x:v>
      </x:c>
      <x:c r="E431" s="44" t="n">
        <x:v>21379</x:v>
      </x:c>
      <x:c r="F431" s="44" t="n">
        <x:v>2100</x:v>
      </x:c>
      <x:c r="G431" s="44" t="n">
        <x:v>3418</x:v>
      </x:c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43" t="n">
        <x:v>46264</x:v>
      </x:c>
      <x:c r="B432" s="44" t="n">
        <x:f>IF(COUNT(C432:D432)=2,SUM(C432:D432),"")</x:f>
        <x:v>144104</x:v>
      </x:c>
      <x:c r="C432" s="44" t="n">
        <x:v>129463</x:v>
      </x:c>
      <x:c r="D432" s="44" t="n">
        <x:v>14641</x:v>
      </x:c>
      <x:c r="E432" s="44" t="n">
        <x:v>21379</x:v>
      </x:c>
      <x:c r="F432" s="44" t="n">
        <x:v>2100</x:v>
      </x:c>
      <x:c r="G432" s="44" t="n">
        <x:v>3810</x:v>
      </x:c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43" t="n">
        <x:v>46265</x:v>
      </x:c>
      <x:c r="B433" s="44" t="n">
        <x:f>IF(COUNT(C433:D433)=2,SUM(C433:D433),"")</x:f>
        <x:v>155325</x:v>
      </x:c>
      <x:c r="C433" s="44" t="n">
        <x:v>140494</x:v>
      </x:c>
      <x:c r="D433" s="44" t="n">
        <x:v>14831</x:v>
      </x:c>
      <x:c r="E433" s="44" t="n">
        <x:v>21379</x:v>
      </x:c>
      <x:c r="F433" s="44" t="n">
        <x:v>2100</x:v>
      </x:c>
      <x:c r="G433" s="44" t="n">
        <x:v>4286</x:v>
      </x:c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43" t="n">
        <x:v>46266</x:v>
      </x:c>
      <x:c r="B434" s="44" t="n">
        <x:v>88116</x:v>
      </x:c>
      <x:c r="C434" s="44" t="n">
        <x:v>79363</x:v>
      </x:c>
      <x:c r="D434" s="44" t="n">
        <x:v>8753</x:v>
      </x:c>
      <x:c r="E434" s="44" t="n">
        <x:v>21379</x:v>
      </x:c>
      <x:c r="F434" s="44" t="n">
        <x:v>2100</x:v>
      </x:c>
      <x:c r="G434" s="44" t="n">
        <x:v>2690</x:v>
      </x:c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43" t="n">
        <x:v>46267</x:v>
      </x:c>
      <x:c r="B435" s="44" t="n">
        <x:v>159821</x:v>
      </x:c>
      <x:c r="C435" s="44" t="n">
        <x:v>145240</x:v>
      </x:c>
      <x:c r="D435" s="44" t="n">
        <x:v>14581</x:v>
      </x:c>
      <x:c r="E435" s="44" t="n">
        <x:v>21379</x:v>
      </x:c>
      <x:c r="F435" s="44" t="n">
        <x:v>2100</x:v>
      </x:c>
      <x:c r="G435" s="44" t="n">
        <x:v>4083</x:v>
      </x:c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43" t="n">
        <x:v>46268</x:v>
      </x:c>
      <x:c r="B436" s="44" t="n">
        <x:v>48596</x:v>
      </x:c>
      <x:c r="C436" s="44" t="n">
        <x:v>44114</x:v>
      </x:c>
      <x:c r="D436" s="44" t="n">
        <x:v>4482</x:v>
      </x:c>
      <x:c r="E436" s="44" t="n">
        <x:v>21379</x:v>
      </x:c>
      <x:c r="F436" s="44" t="n">
        <x:v>2100</x:v>
      </x:c>
      <x:c r="G436" s="44" t="n">
        <x:v>1308</x:v>
      </x:c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43" t="n">
        <x:v>46269</x:v>
      </x:c>
      <x:c r="B437" s="44" t="n">
        <x:v>68638</x:v>
      </x:c>
      <x:c r="C437" s="44" t="n">
        <x:v>62918</x:v>
      </x:c>
      <x:c r="D437" s="44" t="n">
        <x:v>5720</x:v>
      </x:c>
      <x:c r="E437" s="44" t="n">
        <x:v>21379</x:v>
      </x:c>
      <x:c r="F437" s="44" t="n">
        <x:v>2100</x:v>
      </x:c>
      <x:c r="G437" s="44" t="n">
        <x:v>1383</x:v>
      </x:c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43" t="n">
        <x:v>46270</x:v>
      </x:c>
      <x:c r="B438" s="44" t="n">
        <x:v>129536</x:v>
      </x:c>
      <x:c r="C438" s="44" t="n">
        <x:v>117752</x:v>
      </x:c>
      <x:c r="D438" s="44" t="n">
        <x:v>11784</x:v>
      </x:c>
      <x:c r="E438" s="44" t="n">
        <x:v>21379</x:v>
      </x:c>
      <x:c r="F438" s="44" t="n">
        <x:v>2100</x:v>
      </x:c>
      <x:c r="G438" s="44" t="n">
        <x:v>3067</x:v>
      </x:c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43" t="n">
        <x:v>46271</x:v>
      </x:c>
      <x:c r="B439" s="44" t="n">
        <x:v>45034</x:v>
      </x:c>
      <x:c r="C439" s="44" t="n">
        <x:v>40587</x:v>
      </x:c>
      <x:c r="D439" s="44" t="n">
        <x:v>4447</x:v>
      </x:c>
      <x:c r="E439" s="44" t="n">
        <x:v>21379</x:v>
      </x:c>
      <x:c r="F439" s="44" t="n">
        <x:v>2100</x:v>
      </x:c>
      <x:c r="G439" s="44" t="n">
        <x:v>1149</x:v>
      </x:c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43" t="n">
        <x:v>46272</x:v>
      </x:c>
      <x:c r="B440" s="44" t="n">
        <x:v>164879</x:v>
      </x:c>
      <x:c r="C440" s="44" t="n">
        <x:v>150054</x:v>
      </x:c>
      <x:c r="D440" s="44" t="n">
        <x:v>14825</x:v>
      </x:c>
      <x:c r="E440" s="44" t="n">
        <x:v>21379</x:v>
      </x:c>
      <x:c r="F440" s="44" t="n">
        <x:v>2100</x:v>
      </x:c>
      <x:c r="G440" s="44" t="n">
        <x:v>4140</x:v>
      </x:c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43" t="n">
        <x:v>46273</x:v>
      </x:c>
      <x:c r="B441" s="44" t="n">
        <x:v>165537</x:v>
      </x:c>
      <x:c r="C441" s="44" t="n">
        <x:v>150825</x:v>
      </x:c>
      <x:c r="D441" s="44" t="n">
        <x:v>14712</x:v>
      </x:c>
      <x:c r="E441" s="44" t="n">
        <x:v>21379</x:v>
      </x:c>
      <x:c r="F441" s="44" t="n">
        <x:v>2100</x:v>
      </x:c>
      <x:c r="G441" s="44" t="n">
        <x:v>4148</x:v>
      </x:c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43" t="n">
        <x:v>46274</x:v>
      </x:c>
      <x:c r="B442" s="44" t="n">
        <x:v>157344</x:v>
      </x:c>
      <x:c r="C442" s="44" t="n">
        <x:v>143260</x:v>
      </x:c>
      <x:c r="D442" s="44" t="n">
        <x:v>14084</x:v>
      </x:c>
      <x:c r="E442" s="44" t="n">
        <x:v>21379</x:v>
      </x:c>
      <x:c r="F442" s="44" t="n">
        <x:v>2100</x:v>
      </x:c>
      <x:c r="G442" s="44" t="n">
        <x:v>3995</x:v>
      </x:c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43" t="n">
        <x:v>46275</x:v>
      </x:c>
      <x:c r="B443" s="44" t="n">
        <x:v>155585</x:v>
      </x:c>
      <x:c r="C443" s="44" t="n">
        <x:v>142003</x:v>
      </x:c>
      <x:c r="D443" s="44" t="n">
        <x:v>13582</x:v>
      </x:c>
      <x:c r="E443" s="44" t="n">
        <x:v>21379</x:v>
      </x:c>
      <x:c r="F443" s="44" t="n">
        <x:v>2100</x:v>
      </x:c>
      <x:c r="G443" s="44" t="n">
        <x:v>3898</x:v>
      </x:c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43" t="n">
        <x:v>46276</x:v>
      </x:c>
      <x:c r="B444" s="44" t="n">
        <x:v>113017</x:v>
      </x:c>
      <x:c r="C444" s="44" t="n">
        <x:v>103374</x:v>
      </x:c>
      <x:c r="D444" s="44" t="n">
        <x:v>9643</x:v>
      </x:c>
      <x:c r="E444" s="44" t="n">
        <x:v>21379</x:v>
      </x:c>
      <x:c r="F444" s="44" t="n">
        <x:v>2100</x:v>
      </x:c>
      <x:c r="G444" s="44" t="n">
        <x:v>2749</x:v>
      </x:c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43" t="n">
        <x:v>46277</x:v>
      </x:c>
      <x:c r="B445" s="44" t="n">
        <x:v>147604</x:v>
      </x:c>
      <x:c r="C445" s="44" t="n">
        <x:v>135596</x:v>
      </x:c>
      <x:c r="D445" s="44" t="n">
        <x:v>12008</x:v>
      </x:c>
      <x:c r="E445" s="44" t="n">
        <x:v>21379</x:v>
      </x:c>
      <x:c r="F445" s="44" t="n">
        <x:v>2100</x:v>
      </x:c>
      <x:c r="G445" s="44" t="n">
        <x:v>3081</x:v>
      </x:c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43" t="n">
        <x:v>46278</x:v>
      </x:c>
      <x:c r="B446" s="44" t="n">
        <x:v>156504</x:v>
      </x:c>
      <x:c r="C446" s="44" t="n">
        <x:v>141963</x:v>
      </x:c>
      <x:c r="D446" s="44" t="n">
        <x:v>14541</x:v>
      </x:c>
      <x:c r="E446" s="44" t="n">
        <x:v>21379</x:v>
      </x:c>
      <x:c r="F446" s="44" t="n">
        <x:v>2100</x:v>
      </x:c>
      <x:c r="G446" s="44" t="n">
        <x:v>3473</x:v>
      </x:c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43" t="n">
        <x:v>46279</x:v>
      </x:c>
      <x:c r="B447" s="44" t="n">
        <x:v>126308</x:v>
      </x:c>
      <x:c r="C447" s="44" t="n">
        <x:v>115202</x:v>
      </x:c>
      <x:c r="D447" s="44" t="n">
        <x:v>11106</x:v>
      </x:c>
      <x:c r="E447" s="44" t="n">
        <x:v>21379</x:v>
      </x:c>
      <x:c r="F447" s="44" t="n">
        <x:v>2100</x:v>
      </x:c>
      <x:c r="G447" s="44" t="n">
        <x:v>3197</x:v>
      </x:c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43" t="n">
        <x:v>46280</x:v>
      </x:c>
      <x:c r="B448" s="44" t="n">
        <x:v>152849</x:v>
      </x:c>
      <x:c r="C448" s="44" t="n">
        <x:v>140118</x:v>
      </x:c>
      <x:c r="D448" s="44" t="n">
        <x:v>12731</x:v>
      </x:c>
      <x:c r="E448" s="44" t="n">
        <x:v>21379</x:v>
      </x:c>
      <x:c r="F448" s="44" t="n">
        <x:v>2100</x:v>
      </x:c>
      <x:c r="G448" s="44" t="n">
        <x:v>3609</x:v>
      </x:c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43" t="n">
        <x:v>46281</x:v>
      </x:c>
      <x:c r="B449" s="44" t="n">
        <x:v>166258</x:v>
      </x:c>
      <x:c r="C449" s="44" t="n">
        <x:v>151608</x:v>
      </x:c>
      <x:c r="D449" s="44" t="n">
        <x:v>14650</x:v>
      </x:c>
      <x:c r="E449" s="44" t="n">
        <x:v>21379</x:v>
      </x:c>
      <x:c r="F449" s="44" t="n">
        <x:v>2100</x:v>
      </x:c>
      <x:c r="G449" s="44" t="n">
        <x:v>4111</x:v>
      </x:c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43" t="n">
        <x:v>46282</x:v>
      </x:c>
      <x:c r="B450" s="44" t="n">
        <x:v>164340</x:v>
      </x:c>
      <x:c r="C450" s="44" t="n">
        <x:v>149987</x:v>
      </x:c>
      <x:c r="D450" s="44" t="n">
        <x:v>14353</x:v>
      </x:c>
      <x:c r="E450" s="44" t="n">
        <x:v>21379</x:v>
      </x:c>
      <x:c r="F450" s="44" t="n">
        <x:v>2100</x:v>
      </x:c>
      <x:c r="G450" s="44" t="n">
        <x:v>3966</x:v>
      </x:c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43" t="n">
        <x:v>46283</x:v>
      </x:c>
      <x:c r="B451" s="44" t="n">
        <x:v>175243</x:v>
      </x:c>
      <x:c r="C451" s="44" t="n">
        <x:v>160286</x:v>
      </x:c>
      <x:c r="D451" s="44" t="n">
        <x:v>14957</x:v>
      </x:c>
      <x:c r="E451" s="44" t="n">
        <x:v>21379</x:v>
      </x:c>
      <x:c r="F451" s="44" t="n">
        <x:v>2100</x:v>
      </x:c>
      <x:c r="G451" s="44" t="n">
        <x:v>3941</x:v>
      </x:c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43" t="n">
        <x:v>46284</x:v>
      </x:c>
      <x:c r="B452" s="44" t="n">
        <x:v>173666</x:v>
      </x:c>
      <x:c r="C452" s="44" t="n">
        <x:v>157797</x:v>
      </x:c>
      <x:c r="D452" s="44" t="n">
        <x:v>15869</x:v>
      </x:c>
      <x:c r="E452" s="44" t="n">
        <x:v>21379</x:v>
      </x:c>
      <x:c r="F452" s="44" t="n">
        <x:v>2100</x:v>
      </x:c>
      <x:c r="G452" s="44" t="n">
        <x:v>3797</x:v>
      </x:c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43" t="n">
        <x:v>46285</x:v>
      </x:c>
      <x:c r="B453" s="44" t="n">
        <x:v>153362</x:v>
      </x:c>
      <x:c r="C453" s="44" t="n">
        <x:v>139121</x:v>
      </x:c>
      <x:c r="D453" s="44" t="n">
        <x:v>14241</x:v>
      </x:c>
      <x:c r="E453" s="44" t="n">
        <x:v>21379</x:v>
      </x:c>
      <x:c r="F453" s="44" t="n">
        <x:v>2100</x:v>
      </x:c>
      <x:c r="G453" s="44" t="n">
        <x:v>3703</x:v>
      </x:c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43" t="n">
        <x:v>46286</x:v>
      </x:c>
      <x:c r="B454" s="44" t="n">
        <x:v>162464</x:v>
      </x:c>
      <x:c r="C454" s="44" t="n">
        <x:v>148294</x:v>
      </x:c>
      <x:c r="D454" s="44" t="n">
        <x:v>14170</x:v>
      </x:c>
      <x:c r="E454" s="44" t="n">
        <x:v>21379</x:v>
      </x:c>
      <x:c r="F454" s="44" t="n">
        <x:v>2100</x:v>
      </x:c>
      <x:c r="G454" s="44" t="n">
        <x:v>3917</x:v>
      </x:c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43" t="n">
        <x:v>46287</x:v>
      </x:c>
      <x:c r="B455" s="44" t="n">
        <x:v>163425</x:v>
      </x:c>
      <x:c r="C455" s="44" t="n">
        <x:v>148732</x:v>
      </x:c>
      <x:c r="D455" s="44" t="n">
        <x:v>14693</x:v>
      </x:c>
      <x:c r="E455" s="44" t="n">
        <x:v>21379</x:v>
      </x:c>
      <x:c r="F455" s="44" t="n">
        <x:v>2100</x:v>
      </x:c>
      <x:c r="G455" s="44" t="n">
        <x:v>3979</x:v>
      </x:c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43" t="n">
        <x:v>46288</x:v>
      </x:c>
      <x:c r="B456" s="44" t="n">
        <x:v>168326</x:v>
      </x:c>
      <x:c r="C456" s="44" t="n">
        <x:v>153625</x:v>
      </x:c>
      <x:c r="D456" s="44" t="n">
        <x:v>14701</x:v>
      </x:c>
      <x:c r="E456" s="44" t="n">
        <x:v>21379</x:v>
      </x:c>
      <x:c r="F456" s="44" t="n">
        <x:v>2100</x:v>
      </x:c>
      <x:c r="G456" s="44" t="n">
        <x:v>4100</x:v>
      </x:c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43" t="n">
        <x:v>46289</x:v>
      </x:c>
      <x:c r="B457" s="44" t="n">
        <x:v>174740</x:v>
      </x:c>
      <x:c r="C457" s="44" t="n">
        <x:v>158438</x:v>
      </x:c>
      <x:c r="D457" s="44" t="n">
        <x:v>16302</x:v>
      </x:c>
      <x:c r="E457" s="44" t="n">
        <x:v>21379</x:v>
      </x:c>
      <x:c r="F457" s="44" t="n">
        <x:v>2100</x:v>
      </x:c>
      <x:c r="G457" s="44" t="n">
        <x:v>4209</x:v>
      </x:c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43" t="n">
        <x:v>46290</x:v>
      </x:c>
      <x:c r="B458" s="44" t="n">
        <x:v>147977</x:v>
      </x:c>
      <x:c r="C458" s="44" t="n">
        <x:v>132764</x:v>
      </x:c>
      <x:c r="D458" s="44" t="n">
        <x:v>15213</x:v>
      </x:c>
      <x:c r="E458" s="44" t="n">
        <x:v>21379</x:v>
      </x:c>
      <x:c r="F458" s="44" t="n">
        <x:v>2100</x:v>
      </x:c>
      <x:c r="G458" s="44" t="n">
        <x:v>3811</x:v>
      </x:c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43" t="n">
        <x:v>46291</x:v>
      </x:c>
      <x:c r="B459" s="44" t="n">
        <x:v>148965</x:v>
      </x:c>
      <x:c r="C459" s="44" t="n">
        <x:v>133348</x:v>
      </x:c>
      <x:c r="D459" s="44" t="n">
        <x:v>15617</x:v>
      </x:c>
      <x:c r="E459" s="44" t="n">
        <x:v>21379</x:v>
      </x:c>
      <x:c r="F459" s="44" t="n">
        <x:v>2100</x:v>
      </x:c>
      <x:c r="G459" s="44" t="n">
        <x:v>3838</x:v>
      </x:c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43" t="n">
        <x:v>46292</x:v>
      </x:c>
      <x:c r="B460" s="44" t="n">
        <x:v>148148</x:v>
      </x:c>
      <x:c r="C460" s="44" t="n">
        <x:v>132965</x:v>
      </x:c>
      <x:c r="D460" s="44" t="n">
        <x:v>15183</x:v>
      </x:c>
      <x:c r="E460" s="44" t="n">
        <x:v>21379</x:v>
      </x:c>
      <x:c r="F460" s="44" t="n">
        <x:v>2100</x:v>
      </x:c>
      <x:c r="G460" s="44" t="n">
        <x:v>3558</x:v>
      </x:c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43" t="n">
        <x:v>46293</x:v>
      </x:c>
      <x:c r="B461" s="44" t="str">
        <x:f>IF(COUNT(C461:D461)=2,SUM(C461:D461),"")</x:f>
      </x:c>
      <x:c r="C461" s="44"/>
      <x:c r="D461" s="44"/>
      <x:c r="E461" s="44"/>
      <x:c r="F461" s="44"/>
      <x:c r="G461" s="44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43" t="n">
        <x:v>46294</x:v>
      </x:c>
      <x:c r="B462" s="44" t="str">
        <x:f>IF(COUNT(C462:D462)=2,SUM(C462:D462),"")</x:f>
      </x:c>
      <x:c r="C462" s="44"/>
      <x:c r="D462" s="44"/>
      <x:c r="E462" s="44"/>
      <x:c r="F462" s="44"/>
      <x:c r="G462" s="44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45" t="n">
        <x:v>46295</x:v>
      </x:c>
      <x:c r="B463" s="46" t="str">
        <x:f>IF(COUNT(C463:D463)=2,SUM(C463:D463),"")</x:f>
      </x:c>
      <x:c r="C463" s="46"/>
      <x:c r="D463" s="46"/>
      <x:c r="E463" s="46"/>
      <x:c r="F463" s="46"/>
      <x:c r="G463" s="46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1:G1"/>
    <x:mergeCell ref="A2:G2"/>
  </x:mergeCells>
  <x:conditionalFormatting sqref="A7:G463">
    <x:cfRule type="expression" dxfId="1" priority="1">
      <x:formula>$A7&gt;$D$4</x:formula>
    </x:cfRule>
  </x:conditionalFormatting>
  <x:pageMargins left="0.7" right="0.7" top="0.75" bottom="0.75" header="0.3" footer="0.3"/>
  <x:legacyDrawing xmlns:r="http://schemas.openxmlformats.org/officeDocument/2006/relationships" r:id="R4109ddb1a8734327"/>
  <x:tableParts count="1">
    <x:tablePart xmlns:r="http://schemas.openxmlformats.org/officeDocument/2006/relationships" r:id="R59db4593656a49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63" t="str">
        <x:v>雙北 2.0E 性別年齡分布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65" t="str">
        <x:v>2025-07 至 2026-08｜台北市＋新北市｜平日與假日｜租借次數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1"/>
      <x:c r="L3" s="88" t="str">
        <x:v>月份</x:v>
      </x:c>
      <x:c r="M3" s="89" t="str">
        <x:v>平日</x:v>
      </x:c>
      <x:c r="N3" s="89" t="str">
        <x:v>假日</x:v>
      </x:c>
      <x:c r="O3" s="90" t="str">
        <x:v>合計</x:v>
      </x:c>
      <x:c r="P3" s="1"/>
      <x:c r="Q3" s="1"/>
    </x:row>
    <x:row r="4">
      <x:c r="A4" s="88" t="str">
        <x:v>指標</x:v>
      </x:c>
      <x:c r="B4" s="89" t="str">
        <x:v>平日</x:v>
      </x:c>
      <x:c r="C4" s="89" t="str">
        <x:v>假日</x:v>
      </x:c>
      <x:c r="D4" s="90" t="str">
        <x:v>合計</x:v>
      </x:c>
      <x:c r="E4" s="1"/>
      <x:c r="F4" s="1"/>
      <x:c r="G4" s="1"/>
      <x:c r="H4" s="1"/>
      <x:c r="I4" s="1"/>
      <x:c r="J4" s="1"/>
      <x:c r="K4" s="1"/>
      <x:c r="L4" s="168" t="str">
        <x:v>2025-07</x:v>
      </x:c>
      <x:c r="M4" s="38" t="n">
        <x:f>SUMIFS('性別年齡月別明細'!$G$7:$G$286,'性別年齡月別明細'!$A$7:$A$286,DATE(2025,7,1),'性別年齡月別明細'!$B$7:$B$286,"平日")</x:f>
        <x:v>376378</x:v>
      </x:c>
      <x:c r="N4" s="38" t="n">
        <x:f>SUMIFS('性別年齡月別明細'!$G$7:$G$286,'性別年齡月別明細'!$A$7:$A$286,DATE(2025,7,1),'性別年齡月別明細'!$B$7:$B$286,"假日")</x:f>
        <x:v>129348</x:v>
      </x:c>
      <x:c r="O4" s="38" t="n">
        <x:f>SUM(M4:N4)</x:f>
        <x:v>505726</x:v>
      </x:c>
      <x:c r="P4" s="1"/>
      <x:c r="Q4" s="1"/>
    </x:row>
    <x:row r="5">
      <x:c r="A5" s="158" t="str">
        <x:v>租借次數</x:v>
      </x:c>
      <x:c r="B5" s="162" t="n">
        <x:f>SUMIFS('性別年齡月別明細'!$G$7:$G$286,'性別年齡月別明細'!$B$7:$B$286,"平日")</x:f>
        <x:v>7112897</x:v>
      </x:c>
      <x:c r="C5" s="162" t="n">
        <x:f>SUMIFS('性別年齡月別明細'!$G$7:$G$286,'性別年齡月別明細'!$B$7:$B$286,"假日")</x:f>
        <x:v>2839082</x:v>
      </x:c>
      <x:c r="D5" s="162" t="n">
        <x:f>SUM(B5:C5)</x:f>
        <x:v>9951979</x:v>
      </x:c>
      <x:c r="E5" s="1"/>
      <x:c r="F5" s="1"/>
      <x:c r="G5" s="1"/>
      <x:c r="H5" s="1"/>
      <x:c r="I5" s="1"/>
      <x:c r="J5" s="1"/>
      <x:c r="K5" s="1"/>
      <x:c r="L5" s="168" t="str">
        <x:v>2025-08</x:v>
      </x:c>
      <x:c r="M5" s="38" t="n">
        <x:f>SUMIFS('性別年齡月別明細'!$G$7:$G$286,'性別年齡月別明細'!$A$7:$A$286,DATE(2025,8,1),'性別年齡月別明細'!$B$7:$B$286,"平日")</x:f>
        <x:v>405553</x:v>
      </x:c>
      <x:c r="N5" s="38" t="n">
        <x:f>SUMIFS('性別年齡月別明細'!$G$7:$G$286,'性別年齡月別明細'!$A$7:$A$286,DATE(2025,8,1),'性別年齡月別明細'!$B$7:$B$286,"假日")</x:f>
        <x:v>192079</x:v>
      </x:c>
      <x:c r="O5" s="38" t="n">
        <x:f>SUM(M5:N5)</x:f>
        <x:v>597632</x:v>
      </x:c>
      <x:c r="P5" s="1"/>
      <x:c r="Q5" s="1"/>
    </x:row>
    <x:row r="6">
      <x:c r="A6" s="159" t="str">
        <x:v>占全部期間</x:v>
      </x:c>
      <x:c r="B6" s="163" t="n">
        <x:f>B5/$D$5</x:f>
        <x:v>0.7147218658721044</x:v>
      </x:c>
      <x:c r="C6" s="163" t="n">
        <x:f>C5/$D$5</x:f>
        <x:v>0.28527813412789554</x:v>
      </x:c>
      <x:c r="D6" s="163" t="n">
        <x:f>D5/$D$5</x:f>
        <x:v>1</x:v>
      </x:c>
      <x:c r="E6" s="1"/>
      <x:c r="F6" s="1"/>
      <x:c r="G6" s="1"/>
      <x:c r="H6" s="1"/>
      <x:c r="I6" s="1"/>
      <x:c r="J6" s="1"/>
      <x:c r="K6" s="1"/>
      <x:c r="L6" s="168" t="str">
        <x:v>2025-09</x:v>
      </x:c>
      <x:c r="M6" s="38" t="n">
        <x:f>SUMIFS('性別年齡月別明細'!$G$7:$G$286,'性別年齡月別明細'!$A$7:$A$286,DATE(2025,9,1),'性別年齡月別明細'!$B$7:$B$286,"平日")</x:f>
        <x:v>480644</x:v>
      </x:c>
      <x:c r="N6" s="38" t="n">
        <x:f>SUMIFS('性別年齡月別明細'!$G$7:$G$286,'性別年齡月別明細'!$A$7:$A$286,DATE(2025,9,1),'性別年齡月別明細'!$B$7:$B$286,"假日")</x:f>
        <x:v>169974</x:v>
      </x:c>
      <x:c r="O6" s="38" t="n">
        <x:f>SUM(M6:N6)</x:f>
        <x:v>650618</x:v>
      </x:c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68" t="str">
        <x:v>2025-10</x:v>
      </x:c>
      <x:c r="M7" s="38" t="n">
        <x:f>SUMIFS('性別年齡月別明細'!$G$7:$G$286,'性別年齡月別明細'!$A$7:$A$286,DATE(2025,10,1),'性別年齡月別明細'!$B$7:$B$286,"平日")</x:f>
        <x:v>413865</x:v>
      </x:c>
      <x:c r="N7" s="38" t="n">
        <x:f>SUMIFS('性別年齡月別明細'!$G$7:$G$286,'性別年齡月別明細'!$A$7:$A$286,DATE(2025,10,1),'性別年齡月別明細'!$B$7:$B$286,"假日")</x:f>
        <x:v>145467</x:v>
      </x:c>
      <x:c r="O7" s="38" t="n">
        <x:f>SUM(M7:N7)</x:f>
        <x:v>559332</x:v>
      </x:c>
      <x:c r="P7" s="1"/>
      <x:c r="Q7" s="1"/>
    </x:row>
    <x:row r="8">
      <x:c r="A8" s="70" t="str">
        <x:v>期間合計：性別 × 年齡</x:v>
      </x:c>
      <x:c r="B8" s="71"/>
      <x:c r="C8" s="71"/>
      <x:c r="D8" s="71"/>
      <x:c r="E8" s="71"/>
      <x:c r="F8" s="71"/>
      <x:c r="G8" s="71"/>
      <x:c r="H8" s="71"/>
      <x:c r="I8" s="71"/>
      <x:c r="J8" s="72"/>
      <x:c r="K8" s="1"/>
      <x:c r="L8" s="168" t="str">
        <x:v>2025-11</x:v>
      </x:c>
      <x:c r="M8" s="38" t="n">
        <x:f>SUMIFS('性別年齡月別明細'!$G$7:$G$286,'性別年齡月別明細'!$A$7:$A$286,DATE(2025,11,1),'性別年齡月別明細'!$B$7:$B$286,"平日")</x:f>
        <x:v>358585</x:v>
      </x:c>
      <x:c r="N8" s="38" t="n">
        <x:f>SUMIFS('性別年齡月別明細'!$G$7:$G$286,'性別年齡月別明細'!$A$7:$A$286,DATE(2025,11,1),'性別年齡月別明細'!$B$7:$B$286,"假日")</x:f>
        <x:v>220782</x:v>
      </x:c>
      <x:c r="O8" s="38" t="n">
        <x:f>SUM(M8:N8)</x:f>
        <x:v>579367</x:v>
      </x:c>
      <x:c r="P8" s="1"/>
      <x:c r="Q8" s="1"/>
    </x:row>
    <x:row r="9" ht="34" customHeight="1">
      <x:c r="A9" s="88" t="str">
        <x:v>年齡</x:v>
      </x:c>
      <x:c r="B9" s="89" t="str">
        <x:v>平日男</x:v>
      </x:c>
      <x:c r="C9" s="89" t="str">
        <x:v>平日女</x:v>
      </x:c>
      <x:c r="D9" s="89" t="str">
        <x:v>平日未知</x:v>
      </x:c>
      <x:c r="E9" s="89" t="str">
        <x:v>平日合計</x:v>
      </x:c>
      <x:c r="F9" s="89" t="str">
        <x:v>假日男</x:v>
      </x:c>
      <x:c r="G9" s="89" t="str">
        <x:v>假日女</x:v>
      </x:c>
      <x:c r="H9" s="89" t="str">
        <x:v>假日未知</x:v>
      </x:c>
      <x:c r="I9" s="89" t="str">
        <x:v>假日合計</x:v>
      </x:c>
      <x:c r="J9" s="90" t="str">
        <x:v>全部合計</x:v>
      </x:c>
      <x:c r="K9" s="1"/>
      <x:c r="L9" s="168" t="str">
        <x:v>2025-12</x:v>
      </x:c>
      <x:c r="M9" s="38" t="n">
        <x:f>SUMIFS('性別年齡月別明細'!$G$7:$G$286,'性別年齡月別明細'!$A$7:$A$286,DATE(2025,12,1),'性別年齡月別明細'!$B$7:$B$286,"平日")</x:f>
        <x:v>467221</x:v>
      </x:c>
      <x:c r="N9" s="38" t="n">
        <x:f>SUMIFS('性別年齡月別明細'!$G$7:$G$286,'性別年齡月別明細'!$A$7:$A$286,DATE(2025,12,1),'性別年齡月別明細'!$B$7:$B$286,"假日")</x:f>
        <x:v>156084</x:v>
      </x:c>
      <x:c r="O9" s="38" t="n">
        <x:f>SUM(M9:N9)</x:f>
        <x:v>623305</x:v>
      </x:c>
      <x:c r="P9" s="1"/>
      <x:c r="Q9" s="1"/>
    </x:row>
    <x:row r="10">
      <x:c r="A10" s="1" t="str">
        <x:v>08~11歲</x:v>
      </x:c>
      <x:c r="B10" s="38" t="n">
        <x:f>SUMIFS('性別年齡月別明細'!$D$7:$D$286,'性別年齡月別明細'!$B$7:$B$286,"平日",'性別年齡月別明細'!$C$7:$C$286,$A10)</x:f>
        <x:v>4654</x:v>
      </x:c>
      <x:c r="C10" s="38" t="n">
        <x:f>SUMIFS('性別年齡月別明細'!$E$7:$E$286,'性別年齡月別明細'!$B$7:$B$286,"平日",'性別年齡月別明細'!$C$7:$C$286,$A10)</x:f>
        <x:v>1561</x:v>
      </x:c>
      <x:c r="D10" s="144" t="n">
        <x:f>SUMIFS('性別年齡月別明細'!$F$7:$F$286,'性別年齡月別明細'!$B$7:$B$286,"平日",'性別年齡月別明細'!$C$7:$C$286,$A10)</x:f>
        <x:v>0</x:v>
      </x:c>
      <x:c r="E10" s="38" t="n">
        <x:f>SUM(B10:D10)</x:f>
        <x:v>6215</x:v>
      </x:c>
      <x:c r="F10" s="38" t="n">
        <x:f>SUMIFS('性別年齡月別明細'!$D$7:$D$286,'性別年齡月別明細'!$B$7:$B$286,"假日",'性別年齡月別明細'!$C$7:$C$286,$A10)</x:f>
        <x:v>2341</x:v>
      </x:c>
      <x:c r="G10" s="38" t="n">
        <x:f>SUMIFS('性別年齡月別明細'!$E$7:$E$286,'性別年齡月別明細'!$B$7:$B$286,"假日",'性別年齡月別明細'!$C$7:$C$286,$A10)</x:f>
        <x:v>879</x:v>
      </x:c>
      <x:c r="H10" s="144" t="n">
        <x:f>SUMIFS('性別年齡月別明細'!$F$7:$F$286,'性別年齡月別明細'!$B$7:$B$286,"假日",'性別年齡月別明細'!$C$7:$C$286,$A10)</x:f>
        <x:v>0</x:v>
      </x:c>
      <x:c r="I10" s="38" t="n">
        <x:f>SUM(F10:H10)</x:f>
        <x:v>3220</x:v>
      </x:c>
      <x:c r="J10" s="38" t="n">
        <x:f>E10+I10</x:f>
        <x:v>9435</x:v>
      </x:c>
      <x:c r="K10" s="1"/>
      <x:c r="L10" s="168" t="str">
        <x:v>2026-01</x:v>
      </x:c>
      <x:c r="M10" s="38" t="n">
        <x:f>SUMIFS('性別年齡月別明細'!$G$7:$G$286,'性別年齡月別明細'!$A$7:$A$286,DATE(2026,1,1),'性別年齡月別明細'!$B$7:$B$286,"平日")</x:f>
        <x:v>428097</x:v>
      </x:c>
      <x:c r="N10" s="38" t="n">
        <x:f>SUMIFS('性別年齡月別明細'!$G$7:$G$286,'性別年齡月別明細'!$A$7:$A$286,DATE(2026,1,1),'性別年齡月別明細'!$B$7:$B$286,"假日")</x:f>
        <x:v>186545</x:v>
      </x:c>
      <x:c r="O10" s="38" t="n">
        <x:f>SUM(M10:N10)</x:f>
        <x:v>614642</x:v>
      </x:c>
      <x:c r="P10" s="1"/>
      <x:c r="Q10" s="1"/>
    </x:row>
    <x:row r="11">
      <x:c r="A11" s="1" t="str">
        <x:v>12~14歲</x:v>
      </x:c>
      <x:c r="B11" s="38" t="n">
        <x:f>SUMIFS('性別年齡月別明細'!$D$7:$D$286,'性別年齡月別明細'!$B$7:$B$286,"平日",'性別年齡月別明細'!$C$7:$C$286,$A11)</x:f>
        <x:v>58054</x:v>
      </x:c>
      <x:c r="C11" s="38" t="n">
        <x:f>SUMIFS('性別年齡月別明細'!$E$7:$E$286,'性別年齡月別明細'!$B$7:$B$286,"平日",'性別年齡月別明細'!$C$7:$C$286,$A11)</x:f>
        <x:v>16192</x:v>
      </x:c>
      <x:c r="D11" s="144" t="n">
        <x:f>SUMIFS('性別年齡月別明細'!$F$7:$F$286,'性別年齡月別明細'!$B$7:$B$286,"平日",'性別年齡月別明細'!$C$7:$C$286,$A11)</x:f>
        <x:v>0</x:v>
      </x:c>
      <x:c r="E11" s="38" t="n">
        <x:f>SUM(B11:D11)</x:f>
        <x:v>74246</x:v>
      </x:c>
      <x:c r="F11" s="38" t="n">
        <x:f>SUMIFS('性別年齡月別明細'!$D$7:$D$286,'性別年齡月別明細'!$B$7:$B$286,"假日",'性別年齡月別明細'!$C$7:$C$286,$A11)</x:f>
        <x:v>18937</x:v>
      </x:c>
      <x:c r="G11" s="38" t="n">
        <x:f>SUMIFS('性別年齡月別明細'!$E$7:$E$286,'性別年齡月別明細'!$B$7:$B$286,"假日",'性別年齡月別明細'!$C$7:$C$286,$A11)</x:f>
        <x:v>5847</x:v>
      </x:c>
      <x:c r="H11" s="144" t="n">
        <x:f>SUMIFS('性別年齡月別明細'!$F$7:$F$286,'性別年齡月別明細'!$B$7:$B$286,"假日",'性別年齡月別明細'!$C$7:$C$286,$A11)</x:f>
        <x:v>0</x:v>
      </x:c>
      <x:c r="I11" s="38" t="n">
        <x:f>SUM(F11:H11)</x:f>
        <x:v>24784</x:v>
      </x:c>
      <x:c r="J11" s="38" t="n">
        <x:f>E11+I11</x:f>
        <x:v>99030</x:v>
      </x:c>
      <x:c r="K11" s="1"/>
      <x:c r="L11" s="168" t="str">
        <x:v>2026-02</x:v>
      </x:c>
      <x:c r="M11" s="38" t="n">
        <x:f>SUMIFS('性別年齡月別明細'!$G$7:$G$286,'性別年齡月別明細'!$A$7:$A$286,DATE(2026,2,1),'性別年齡月別明細'!$B$7:$B$286,"平日")</x:f>
        <x:v>425185</x:v>
      </x:c>
      <x:c r="N11" s="38" t="n">
        <x:f>SUMIFS('性別年齡月別明細'!$G$7:$G$286,'性別年齡月別明細'!$A$7:$A$286,DATE(2026,2,1),'性別年齡月別明細'!$B$7:$B$286,"假日")</x:f>
        <x:v>153681</x:v>
      </x:c>
      <x:c r="O11" s="38" t="n">
        <x:f>SUM(M11:N11)</x:f>
        <x:v>578866</x:v>
      </x:c>
      <x:c r="P11" s="1"/>
      <x:c r="Q11" s="1"/>
    </x:row>
    <x:row r="12">
      <x:c r="A12" s="1" t="str">
        <x:v>15~17歲</x:v>
      </x:c>
      <x:c r="B12" s="38" t="n">
        <x:f>SUMIFS('性別年齡月別明細'!$D$7:$D$286,'性別年齡月別明細'!$B$7:$B$286,"平日",'性別年齡月別明細'!$C$7:$C$286,$A12)</x:f>
        <x:v>122137</x:v>
      </x:c>
      <x:c r="C12" s="38" t="n">
        <x:f>SUMIFS('性別年齡月別明細'!$E$7:$E$286,'性別年齡月別明細'!$B$7:$B$286,"平日",'性別年齡月別明細'!$C$7:$C$286,$A12)</x:f>
        <x:v>40414</x:v>
      </x:c>
      <x:c r="D12" s="144" t="n">
        <x:f>SUMIFS('性別年齡月別明細'!$F$7:$F$286,'性別年齡月別明細'!$B$7:$B$286,"平日",'性別年齡月別明細'!$C$7:$C$286,$A12)</x:f>
        <x:v>0</x:v>
      </x:c>
      <x:c r="E12" s="38" t="n">
        <x:f>SUM(B12:D12)</x:f>
        <x:v>162551</x:v>
      </x:c>
      <x:c r="F12" s="38" t="n">
        <x:f>SUMIFS('性別年齡月別明細'!$D$7:$D$286,'性別年齡月別明細'!$B$7:$B$286,"假日",'性別年齡月別明細'!$C$7:$C$286,$A12)</x:f>
        <x:v>37304</x:v>
      </x:c>
      <x:c r="G12" s="38" t="n">
        <x:f>SUMIFS('性別年齡月別明細'!$E$7:$E$286,'性別年齡月別明細'!$B$7:$B$286,"假日",'性別年齡月別明細'!$C$7:$C$286,$A12)</x:f>
        <x:v>14143</x:v>
      </x:c>
      <x:c r="H12" s="144" t="n">
        <x:f>SUMIFS('性別年齡月別明細'!$F$7:$F$286,'性別年齡月別明細'!$B$7:$B$286,"假日",'性別年齡月別明細'!$C$7:$C$286,$A12)</x:f>
        <x:v>0</x:v>
      </x:c>
      <x:c r="I12" s="38" t="n">
        <x:f>SUM(F12:H12)</x:f>
        <x:v>51447</x:v>
      </x:c>
      <x:c r="J12" s="38" t="n">
        <x:f>E12+I12</x:f>
        <x:v>213998</x:v>
      </x:c>
      <x:c r="K12" s="1"/>
      <x:c r="L12" s="168" t="str">
        <x:v>2026-03</x:v>
      </x:c>
      <x:c r="M12" s="38" t="n">
        <x:f>SUMIFS('性別年齡月別明細'!$G$7:$G$286,'性別年齡月別明細'!$A$7:$A$286,DATE(2026,3,1),'性別年齡月別明細'!$B$7:$B$286,"平日")</x:f>
        <x:v>530197</x:v>
      </x:c>
      <x:c r="N12" s="38" t="n">
        <x:f>SUMIFS('性別年齡月別明細'!$G$7:$G$286,'性別年齡月別明細'!$A$7:$A$286,DATE(2026,3,1),'性別年齡月別明細'!$B$7:$B$286,"假日")</x:f>
        <x:v>231483</x:v>
      </x:c>
      <x:c r="O12" s="38" t="n">
        <x:f>SUM(M12:N12)</x:f>
        <x:v>761680</x:v>
      </x:c>
      <x:c r="P12" s="1"/>
      <x:c r="Q12" s="1"/>
    </x:row>
    <x:row r="13">
      <x:c r="A13" s="1" t="str">
        <x:v>18~24歲</x:v>
      </x:c>
      <x:c r="B13" s="38" t="n">
        <x:f>SUMIFS('性別年齡月別明細'!$D$7:$D$286,'性別年齡月別明細'!$B$7:$B$286,"平日",'性別年齡月別明細'!$C$7:$C$286,$A13)</x:f>
        <x:v>219978</x:v>
      </x:c>
      <x:c r="C13" s="38" t="n">
        <x:f>SUMIFS('性別年齡月別明細'!$E$7:$E$286,'性別年齡月別明細'!$B$7:$B$286,"平日",'性別年齡月別明細'!$C$7:$C$286,$A13)</x:f>
        <x:v>162484</x:v>
      </x:c>
      <x:c r="D13" s="144" t="n">
        <x:f>SUMIFS('性別年齡月別明細'!$F$7:$F$286,'性別年齡月別明細'!$B$7:$B$286,"平日",'性別年齡月別明細'!$C$7:$C$286,$A13)</x:f>
        <x:v>0</x:v>
      </x:c>
      <x:c r="E13" s="38" t="n">
        <x:f>SUM(B13:D13)</x:f>
        <x:v>382462</x:v>
      </x:c>
      <x:c r="F13" s="38" t="n">
        <x:f>SUMIFS('性別年齡月別明細'!$D$7:$D$286,'性別年齡月別明細'!$B$7:$B$286,"假日",'性別年齡月別明細'!$C$7:$C$286,$A13)</x:f>
        <x:v>79204</x:v>
      </x:c>
      <x:c r="G13" s="38" t="n">
        <x:f>SUMIFS('性別年齡月別明細'!$E$7:$E$286,'性別年齡月別明細'!$B$7:$B$286,"假日",'性別年齡月別明細'!$C$7:$C$286,$A13)</x:f>
        <x:v>58566</x:v>
      </x:c>
      <x:c r="H13" s="144" t="n">
        <x:f>SUMIFS('性別年齡月別明細'!$F$7:$F$286,'性別年齡月別明細'!$B$7:$B$286,"假日",'性別年齡月別明細'!$C$7:$C$286,$A13)</x:f>
        <x:v>0</x:v>
      </x:c>
      <x:c r="I13" s="38" t="n">
        <x:f>SUM(F13:H13)</x:f>
        <x:v>137770</x:v>
      </x:c>
      <x:c r="J13" s="38" t="n">
        <x:f>E13+I13</x:f>
        <x:v>520232</x:v>
      </x:c>
      <x:c r="K13" s="1"/>
      <x:c r="L13" s="168" t="str">
        <x:v>2026-04</x:v>
      </x:c>
      <x:c r="M13" s="38" t="n">
        <x:f>SUMIFS('性別年齡月別明細'!$G$7:$G$286,'性別年齡月別明細'!$A$7:$A$286,DATE(2026,4,1),'性別年齡月別明細'!$B$7:$B$286,"平日")</x:f>
        <x:v>539161</x:v>
      </x:c>
      <x:c r="N13" s="38" t="n">
        <x:f>SUMIFS('性別年齡月別明細'!$G$7:$G$286,'性別年齡月別明細'!$A$7:$A$286,DATE(2026,4,1),'性別年齡月別明細'!$B$7:$B$286,"假日")</x:f>
        <x:v>207828</x:v>
      </x:c>
      <x:c r="O13" s="38" t="n">
        <x:f>SUM(M13:N13)</x:f>
        <x:v>746989</x:v>
      </x:c>
      <x:c r="P13" s="1"/>
      <x:c r="Q13" s="1"/>
    </x:row>
    <x:row r="14">
      <x:c r="A14" s="1" t="str">
        <x:v>25~34歲</x:v>
      </x:c>
      <x:c r="B14" s="38" t="n">
        <x:f>SUMIFS('性別年齡月別明細'!$D$7:$D$286,'性別年齡月別明細'!$B$7:$B$286,"平日",'性別年齡月別明細'!$C$7:$C$286,$A14)</x:f>
        <x:v>427122</x:v>
      </x:c>
      <x:c r="C14" s="38" t="n">
        <x:f>SUMIFS('性別年齡月別明細'!$E$7:$E$286,'性別年齡月別明細'!$B$7:$B$286,"平日",'性別年齡月別明細'!$C$7:$C$286,$A14)</x:f>
        <x:v>379595</x:v>
      </x:c>
      <x:c r="D14" s="144" t="n">
        <x:f>SUMIFS('性別年齡月別明細'!$F$7:$F$286,'性別年齡月別明細'!$B$7:$B$286,"平日",'性別年齡月別明細'!$C$7:$C$286,$A14)</x:f>
        <x:v>0</x:v>
      </x:c>
      <x:c r="E14" s="38" t="n">
        <x:f>SUM(B14:D14)</x:f>
        <x:v>806717</x:v>
      </x:c>
      <x:c r="F14" s="38" t="n">
        <x:f>SUMIFS('性別年齡月別明細'!$D$7:$D$286,'性別年齡月別明細'!$B$7:$B$286,"假日",'性別年齡月別明細'!$C$7:$C$286,$A14)</x:f>
        <x:v>170667</x:v>
      </x:c>
      <x:c r="G14" s="38" t="n">
        <x:f>SUMIFS('性別年齡月別明細'!$E$7:$E$286,'性別年齡月別明細'!$B$7:$B$286,"假日",'性別年齡月別明細'!$C$7:$C$286,$A14)</x:f>
        <x:v>136506</x:v>
      </x:c>
      <x:c r="H14" s="144" t="n">
        <x:f>SUMIFS('性別年齡月別明細'!$F$7:$F$286,'性別年齡月別明細'!$B$7:$B$286,"假日",'性別年齡月別明細'!$C$7:$C$286,$A14)</x:f>
        <x:v>0</x:v>
      </x:c>
      <x:c r="I14" s="38" t="n">
        <x:f>SUM(F14:H14)</x:f>
        <x:v>307173</x:v>
      </x:c>
      <x:c r="J14" s="38" t="n">
        <x:f>E14+I14</x:f>
        <x:v>1113890</x:v>
      </x:c>
      <x:c r="K14" s="1"/>
      <x:c r="L14" s="168" t="str">
        <x:v>2026-05</x:v>
      </x:c>
      <x:c r="M14" s="38" t="n">
        <x:f>SUMIFS('性別年齡月別明細'!$G$7:$G$286,'性別年齡月別明細'!$A$7:$A$286,DATE(2026,5,1),'性別年齡月別明細'!$B$7:$B$286,"平日")</x:f>
        <x:v>584946</x:v>
      </x:c>
      <x:c r="N14" s="38" t="n">
        <x:f>SUMIFS('性別年齡月別明細'!$G$7:$G$286,'性別年齡月別明細'!$A$7:$A$286,DATE(2026,5,1),'性別年齡月別明細'!$B$7:$B$286,"假日")</x:f>
        <x:v>312338</x:v>
      </x:c>
      <x:c r="O14" s="38" t="n">
        <x:f>SUM(M14:N14)</x:f>
        <x:v>897284</x:v>
      </x:c>
      <x:c r="P14" s="1"/>
      <x:c r="Q14" s="1"/>
    </x:row>
    <x:row r="15">
      <x:c r="A15" s="1" t="str">
        <x:v>35~44歲</x:v>
      </x:c>
      <x:c r="B15" s="38" t="n">
        <x:f>SUMIFS('性別年齡月別明細'!$D$7:$D$286,'性別年齡月別明細'!$B$7:$B$286,"平日",'性別年齡月別明細'!$C$7:$C$286,$A15)</x:f>
        <x:v>378525</x:v>
      </x:c>
      <x:c r="C15" s="38" t="n">
        <x:f>SUMIFS('性別年齡月別明細'!$E$7:$E$286,'性別年齡月別明細'!$B$7:$B$286,"平日",'性別年齡月別明細'!$C$7:$C$286,$A15)</x:f>
        <x:v>359113</x:v>
      </x:c>
      <x:c r="D15" s="144" t="n">
        <x:f>SUMIFS('性別年齡月別明細'!$F$7:$F$286,'性別年齡月別明細'!$B$7:$B$286,"平日",'性別年齡月別明細'!$C$7:$C$286,$A15)</x:f>
        <x:v>0</x:v>
      </x:c>
      <x:c r="E15" s="38" t="n">
        <x:f>SUM(B15:D15)</x:f>
        <x:v>737638</x:v>
      </x:c>
      <x:c r="F15" s="38" t="n">
        <x:f>SUMIFS('性別年齡月別明細'!$D$7:$D$286,'性別年齡月別明細'!$B$7:$B$286,"假日",'性別年齡月別明細'!$C$7:$C$286,$A15)</x:f>
        <x:v>156029</x:v>
      </x:c>
      <x:c r="G15" s="38" t="n">
        <x:f>SUMIFS('性別年齡月別明細'!$E$7:$E$286,'性別年齡月別明細'!$B$7:$B$286,"假日",'性別年齡月別明細'!$C$7:$C$286,$A15)</x:f>
        <x:v>126624</x:v>
      </x:c>
      <x:c r="H15" s="144" t="n">
        <x:f>SUMIFS('性別年齡月別明細'!$F$7:$F$286,'性別年齡月別明細'!$B$7:$B$286,"假日",'性別年齡月別明細'!$C$7:$C$286,$A15)</x:f>
        <x:v>0</x:v>
      </x:c>
      <x:c r="I15" s="38" t="n">
        <x:f>SUM(F15:H15)</x:f>
        <x:v>282653</x:v>
      </x:c>
      <x:c r="J15" s="38" t="n">
        <x:f>E15+I15</x:f>
        <x:v>1020291</x:v>
      </x:c>
      <x:c r="K15" s="1"/>
      <x:c r="L15" s="168" t="str">
        <x:v>2026-06</x:v>
      </x:c>
      <x:c r="M15" s="38" t="n">
        <x:f>SUMIFS('性別年齡月別明細'!$G$7:$G$286,'性別年齡月別明細'!$A$7:$A$286,DATE(2026,6,1),'性別年齡月別明細'!$B$7:$B$286,"平日")</x:f>
        <x:v>519929</x:v>
      </x:c>
      <x:c r="N15" s="38" t="n">
        <x:f>SUMIFS('性別年齡月別明細'!$G$7:$G$286,'性別年齡月別明細'!$A$7:$A$286,DATE(2026,6,1),'性別年齡月別明細'!$B$7:$B$286,"假日")</x:f>
        <x:v>190936</x:v>
      </x:c>
      <x:c r="O15" s="38" t="n">
        <x:f>SUM(M15:N15)</x:f>
        <x:v>710865</x:v>
      </x:c>
      <x:c r="P15" s="1"/>
      <x:c r="Q15" s="1"/>
    </x:row>
    <x:row r="16">
      <x:c r="A16" s="1" t="str">
        <x:v>45~54歲</x:v>
      </x:c>
      <x:c r="B16" s="38" t="n">
        <x:f>SUMIFS('性別年齡月別明細'!$D$7:$D$286,'性別年齡月別明細'!$B$7:$B$286,"平日",'性別年齡月別明細'!$C$7:$C$286,$A16)</x:f>
        <x:v>314749</x:v>
      </x:c>
      <x:c r="C16" s="38" t="n">
        <x:f>SUMIFS('性別年齡月別明細'!$E$7:$E$286,'性別年齡月別明細'!$B$7:$B$286,"平日",'性別年齡月別明細'!$C$7:$C$286,$A16)</x:f>
        <x:v>294387</x:v>
      </x:c>
      <x:c r="D16" s="144" t="n">
        <x:f>SUMIFS('性別年齡月別明細'!$F$7:$F$286,'性別年齡月別明細'!$B$7:$B$286,"平日",'性別年齡月別明細'!$C$7:$C$286,$A16)</x:f>
        <x:v>0</x:v>
      </x:c>
      <x:c r="E16" s="38" t="n">
        <x:f>SUM(B16:D16)</x:f>
        <x:v>609136</x:v>
      </x:c>
      <x:c r="F16" s="38" t="n">
        <x:f>SUMIFS('性別年齡月別明細'!$D$7:$D$286,'性別年齡月別明細'!$B$7:$B$286,"假日",'性別年齡月別明細'!$C$7:$C$286,$A16)</x:f>
        <x:v>138525</x:v>
      </x:c>
      <x:c r="G16" s="38" t="n">
        <x:f>SUMIFS('性別年齡月別明細'!$E$7:$E$286,'性別年齡月別明細'!$B$7:$B$286,"假日",'性別年齡月別明細'!$C$7:$C$286,$A16)</x:f>
        <x:v>124031</x:v>
      </x:c>
      <x:c r="H16" s="144" t="n">
        <x:f>SUMIFS('性別年齡月別明細'!$F$7:$F$286,'性別年齡月別明細'!$B$7:$B$286,"假日",'性別年齡月別明細'!$C$7:$C$286,$A16)</x:f>
        <x:v>0</x:v>
      </x:c>
      <x:c r="I16" s="38" t="n">
        <x:f>SUM(F16:H16)</x:f>
        <x:v>262556</x:v>
      </x:c>
      <x:c r="J16" s="38" t="n">
        <x:f>E16+I16</x:f>
        <x:v>871692</x:v>
      </x:c>
      <x:c r="K16" s="1"/>
      <x:c r="L16" s="168" t="str">
        <x:v>2026-07</x:v>
      </x:c>
      <x:c r="M16" s="38" t="n">
        <x:f>SUMIFS('性別年齡月別明細'!$G$7:$G$286,'性別年齡月別明細'!$A$7:$A$286,DATE(2026,7,1),'性別年齡月別明細'!$B$7:$B$286,"平日")</x:f>
        <x:v>802881</x:v>
      </x:c>
      <x:c r="N16" s="38" t="n">
        <x:f>SUMIFS('性別年齡月別明細'!$G$7:$G$286,'性別年齡月別明細'!$A$7:$A$286,DATE(2026,7,1),'性別年齡月別明細'!$B$7:$B$286,"假日")</x:f>
        <x:v>230174</x:v>
      </x:c>
      <x:c r="O16" s="38" t="n">
        <x:f>SUM(M16:N16)</x:f>
        <x:v>1033055</x:v>
      </x:c>
      <x:c r="P16" s="1"/>
      <x:c r="Q16" s="1"/>
    </x:row>
    <x:row r="17">
      <x:c r="A17" s="1" t="str">
        <x:v>55~64歲</x:v>
      </x:c>
      <x:c r="B17" s="38" t="n">
        <x:f>SUMIFS('性別年齡月別明細'!$D$7:$D$286,'性別年齡月別明細'!$B$7:$B$286,"平日",'性別年齡月別明細'!$C$7:$C$286,$A17)</x:f>
        <x:v>196065</x:v>
      </x:c>
      <x:c r="C17" s="38" t="n">
        <x:f>SUMIFS('性別年齡月別明細'!$E$7:$E$286,'性別年齡月別明細'!$B$7:$B$286,"平日",'性別年齡月別明細'!$C$7:$C$286,$A17)</x:f>
        <x:v>146402</x:v>
      </x:c>
      <x:c r="D17" s="144" t="n">
        <x:f>SUMIFS('性別年齡月別明細'!$F$7:$F$286,'性別年齡月別明細'!$B$7:$B$286,"平日",'性別年齡月別明細'!$C$7:$C$286,$A17)</x:f>
        <x:v>0</x:v>
      </x:c>
      <x:c r="E17" s="38" t="n">
        <x:f>SUM(B17:D17)</x:f>
        <x:v>342467</x:v>
      </x:c>
      <x:c r="F17" s="38" t="n">
        <x:f>SUMIFS('性別年齡月別明細'!$D$7:$D$286,'性別年齡月別明細'!$B$7:$B$286,"假日",'性別年齡月別明細'!$C$7:$C$286,$A17)</x:f>
        <x:v>85140</x:v>
      </x:c>
      <x:c r="G17" s="38" t="n">
        <x:f>SUMIFS('性別年齡月別明細'!$E$7:$E$286,'性別年齡月別明細'!$B$7:$B$286,"假日",'性別年齡月別明細'!$C$7:$C$286,$A17)</x:f>
        <x:v>62303</x:v>
      </x:c>
      <x:c r="H17" s="144" t="n">
        <x:f>SUMIFS('性別年齡月別明細'!$F$7:$F$286,'性別年齡月別明細'!$B$7:$B$286,"假日",'性別年齡月別明細'!$C$7:$C$286,$A17)</x:f>
        <x:v>0</x:v>
      </x:c>
      <x:c r="I17" s="38" t="n">
        <x:f>SUM(F17:H17)</x:f>
        <x:v>147443</x:v>
      </x:c>
      <x:c r="J17" s="38" t="n">
        <x:f>E17+I17</x:f>
        <x:v>489910</x:v>
      </x:c>
      <x:c r="K17" s="1"/>
      <x:c r="L17" s="168" t="str">
        <x:v>2026-08</x:v>
      </x:c>
      <x:c r="M17" s="38" t="n">
        <x:f>SUMIFS('性別年齡月別明細'!$G$7:$G$286,'性別年齡月別明細'!$A$7:$A$286,DATE(2026,8,1),'性別年齡月別明細'!$B$7:$B$286,"平日")</x:f>
        <x:v>780255</x:v>
      </x:c>
      <x:c r="N17" s="38" t="n">
        <x:f>SUMIFS('性別年齡月別明細'!$G$7:$G$286,'性別年齡月別明細'!$A$7:$A$286,DATE(2026,8,1),'性別年齡月別明細'!$B$7:$B$286,"假日")</x:f>
        <x:v>312363</x:v>
      </x:c>
      <x:c r="O17" s="38" t="n">
        <x:f>SUM(M17:N17)</x:f>
        <x:v>1092618</x:v>
      </x:c>
      <x:c r="P17" s="1"/>
      <x:c r="Q17" s="1"/>
    </x:row>
    <x:row r="18">
      <x:c r="A18" s="1" t="str">
        <x:v>65~100歲</x:v>
      </x:c>
      <x:c r="B18" s="38" t="n">
        <x:f>SUMIFS('性別年齡月別明細'!$D$7:$D$286,'性別年齡月別明細'!$B$7:$B$286,"平日",'性別年齡月別明細'!$C$7:$C$286,$A18)</x:f>
        <x:v>460000</x:v>
      </x:c>
      <x:c r="C18" s="38" t="n">
        <x:f>SUMIFS('性別年齡月別明細'!$E$7:$E$286,'性別年齡月別明細'!$B$7:$B$286,"平日",'性別年齡月別明細'!$C$7:$C$286,$A18)</x:f>
        <x:v>146568</x:v>
      </x:c>
      <x:c r="D18" s="144" t="n">
        <x:f>SUMIFS('性別年齡月別明細'!$F$7:$F$286,'性別年齡月別明細'!$B$7:$B$286,"平日",'性別年齡月別明細'!$C$7:$C$286,$A18)</x:f>
        <x:v>0</x:v>
      </x:c>
      <x:c r="E18" s="38" t="n">
        <x:f>SUM(B18:D18)</x:f>
        <x:v>606568</x:v>
      </x:c>
      <x:c r="F18" s="38" t="n">
        <x:f>SUMIFS('性別年齡月別明細'!$D$7:$D$286,'性別年齡月別明細'!$B$7:$B$286,"假日",'性別年齡月別明細'!$C$7:$C$286,$A18)</x:f>
        <x:v>185697</x:v>
      </x:c>
      <x:c r="G18" s="38" t="n">
        <x:f>SUMIFS('性別年齡月別明細'!$E$7:$E$286,'性別年齡月別明細'!$B$7:$B$286,"假日",'性別年齡月別明細'!$C$7:$C$286,$A18)</x:f>
        <x:v>59442</x:v>
      </x:c>
      <x:c r="H18" s="144" t="n">
        <x:f>SUMIFS('性別年齡月別明細'!$F$7:$F$286,'性別年齡月別明細'!$B$7:$B$286,"假日",'性別年齡月別明細'!$C$7:$C$286,$A18)</x:f>
        <x:v>0</x:v>
      </x:c>
      <x:c r="I18" s="38" t="n">
        <x:f>SUM(F18:H18)</x:f>
        <x:v>245139</x:v>
      </x:c>
      <x:c r="J18" s="38" t="n">
        <x:f>E18+I18</x:f>
        <x:v>851707</x:v>
      </x:c>
      <x:c r="K18" s="1"/>
      <x:c r="L18" s="1"/>
      <x:c r="M18" s="1"/>
      <x:c r="N18" s="1"/>
      <x:c r="O18" s="1"/>
      <x:c r="P18" s="1"/>
      <x:c r="Q18" s="1"/>
    </x:row>
    <x:row r="19">
      <x:c r="A19" s="1" t="str">
        <x:v>未投保或資料有誤</x:v>
      </x:c>
      <x:c r="B19" s="38" t="n">
        <x:f>SUMIFS('性別年齡月別明細'!$D$7:$D$286,'性別年齡月別明細'!$B$7:$B$286,"平日",'性別年齡月別明細'!$C$7:$C$286,$A19)</x:f>
        <x:v>0</x:v>
      </x:c>
      <x:c r="C19" s="38" t="n">
        <x:f>SUMIFS('性別年齡月別明細'!$E$7:$E$286,'性別年齡月別明細'!$B$7:$B$286,"平日",'性別年齡月別明細'!$C$7:$C$286,$A19)</x:f>
        <x:v>0</x:v>
      </x:c>
      <x:c r="D19" s="144" t="n">
        <x:f>SUMIFS('性別年齡月別明細'!$F$7:$F$286,'性別年齡月別明細'!$B$7:$B$286,"平日",'性別年齡月別明細'!$C$7:$C$286,$A19)</x:f>
        <x:v>3384897</x:v>
      </x:c>
      <x:c r="E19" s="38" t="n">
        <x:f>SUM(B19:D19)</x:f>
        <x:v>3384897</x:v>
      </x:c>
      <x:c r="F19" s="38" t="n">
        <x:f>SUMIFS('性別年齡月別明細'!$D$7:$D$286,'性別年齡月別明細'!$B$7:$B$286,"假日",'性別年齡月別明細'!$C$7:$C$286,$A19)</x:f>
        <x:v>0</x:v>
      </x:c>
      <x:c r="G19" s="38" t="n">
        <x:f>SUMIFS('性別年齡月別明細'!$E$7:$E$286,'性別年齡月別明細'!$B$7:$B$286,"假日",'性別年齡月別明細'!$C$7:$C$286,$A19)</x:f>
        <x:v>0</x:v>
      </x:c>
      <x:c r="H19" s="144" t="n">
        <x:f>SUMIFS('性別年齡月別明細'!$F$7:$F$286,'性別年齡月別明細'!$B$7:$B$286,"假日",'性別年齡月別明細'!$C$7:$C$286,$A19)</x:f>
        <x:v>1376897</x:v>
      </x:c>
      <x:c r="I19" s="38" t="n">
        <x:f>SUM(F19:H19)</x:f>
        <x:v>1376897</x:v>
      </x:c>
      <x:c r="J19" s="38" t="n">
        <x:f>E19+I19</x:f>
        <x:v>4761794</x:v>
      </x:c>
      <x:c r="K19" s="1"/>
      <x:c r="L19" s="1"/>
      <x:c r="M19" s="1"/>
      <x:c r="N19" s="1"/>
      <x:c r="O19" s="1"/>
      <x:c r="P19" s="1"/>
      <x:c r="Q19" s="1"/>
    </x:row>
    <x:row r="20">
      <x:c r="A20" s="166" t="str">
        <x:v>合計</x:v>
      </x:c>
      <x:c r="B20" s="167" t="n">
        <x:f>SUM(B10:B19)</x:f>
        <x:v>2181284</x:v>
      </x:c>
      <x:c r="C20" s="167" t="n">
        <x:f>SUM(C10:C19)</x:f>
        <x:v>1546716</x:v>
      </x:c>
      <x:c r="D20" s="167" t="n">
        <x:f>SUM(D10:D19)</x:f>
        <x:v>3384897</x:v>
      </x:c>
      <x:c r="E20" s="167" t="n">
        <x:f>SUM(E10:E19)</x:f>
        <x:v>7112897</x:v>
      </x:c>
      <x:c r="F20" s="167" t="n">
        <x:f>SUM(F10:F19)</x:f>
        <x:v>873844</x:v>
      </x:c>
      <x:c r="G20" s="167" t="n">
        <x:f>SUM(G10:G19)</x:f>
        <x:v>588341</x:v>
      </x:c>
      <x:c r="H20" s="167" t="n">
        <x:f>SUM(H10:H19)</x:f>
        <x:v>1376897</x:v>
      </x:c>
      <x:c r="I20" s="167" t="n">
        <x:f>SUM(I10:I19)</x:f>
        <x:v>2839082</x:v>
      </x:c>
      <x:c r="J20" s="167" t="n">
        <x:f>SUM(J10:J19)</x:f>
        <x:v>9951979</x:v>
      </x:c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70" t="str">
        <x:v>年齡分布比例</x:v>
      </x:c>
      <x:c r="B23" s="71"/>
      <x:c r="C23" s="71"/>
      <x:c r="D23" s="71"/>
      <x:c r="E23" s="71"/>
      <x:c r="F23" s="71"/>
      <x:c r="G23" s="72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88" t="str">
        <x:v>年齡</x:v>
      </x:c>
      <x:c r="B24" s="89" t="str">
        <x:v>平日男</x:v>
      </x:c>
      <x:c r="C24" s="89" t="str">
        <x:v>平日女</x:v>
      </x:c>
      <x:c r="D24" s="89" t="str">
        <x:v>假日男</x:v>
      </x:c>
      <x:c r="E24" s="89" t="str">
        <x:v>假日女</x:v>
      </x:c>
      <x:c r="F24" s="89" t="str">
        <x:v>平日整體</x:v>
      </x:c>
      <x:c r="G24" s="90" t="str">
        <x:v>假日整體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v>08~11歲</x:v>
      </x:c>
      <x:c r="B25" s="103" t="n">
        <x:f>IF($B$20=0,"",B10/$B$20)</x:f>
        <x:v>0.0021336057111316087</x:v>
      </x:c>
      <x:c r="C25" s="103" t="n">
        <x:f>IF($C$20=0,"",C10/$C$20)</x:f>
        <x:v>0.001009235050261328</x:v>
      </x:c>
      <x:c r="D25" s="103" t="n">
        <x:f>IF($F$20=0,"",F10/$F$20)</x:f>
        <x:v>0.002678967870695456</x:v>
      </x:c>
      <x:c r="E25" s="103" t="n">
        <x:f>IF($G$20=0,"",G10/$G$20)</x:f>
        <x:v>0.0014940315225354004</x:v>
      </x:c>
      <x:c r="F25" s="103" t="n">
        <x:f>IF($E$20=0,"",E10/$E$20)</x:f>
        <x:v>0.0008737649371275866</x:v>
      </x:c>
      <x:c r="G25" s="103" t="n">
        <x:f>IF($I$20=0,"",I10/$I$20)</x:f>
        <x:v>0.0011341694251874373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 t="str">
        <x:v>12~14歲</x:v>
      </x:c>
      <x:c r="B26" s="103" t="n">
        <x:f>IF($B$20=0,"",B11/$B$20)</x:f>
        <x:v>0.02661459947443799</x:v>
      </x:c>
      <x:c r="C26" s="103" t="n">
        <x:f>IF($C$20=0,"",C11/$C$20)</x:f>
        <x:v>0.010468631603991942</x:v>
      </x:c>
      <x:c r="D26" s="103" t="n">
        <x:f>IF($F$20=0,"",F11/$F$20)</x:f>
        <x:v>0.021670916090286138</x:v>
      </x:c>
      <x:c r="E26" s="103" t="n">
        <x:f>IF($G$20=0,"",G11/$G$20)</x:f>
        <x:v>0.009938114120892476</x:v>
      </x:c>
      <x:c r="F26" s="103" t="n">
        <x:f>IF($E$20=0,"",E11/$E$20)</x:f>
        <x:v>0.01043822228833062</x:v>
      </x:c>
      <x:c r="G26" s="103" t="n">
        <x:f>IF($I$20=0,"",I11/$I$20)</x:f>
        <x:v>0.008729582308647654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 t="str">
        <x:v>15~17歲</x:v>
      </x:c>
      <x:c r="B27" s="103" t="n">
        <x:f>IF($B$20=0,"",B12/$B$20)</x:f>
        <x:v>0.05599316732713393</x:v>
      </x:c>
      <x:c r="C27" s="103" t="n">
        <x:f>IF($C$20=0,"",C12/$C$20)</x:f>
        <x:v>0.026128907957246192</x:v>
      </x:c>
      <x:c r="D27" s="103" t="n">
        <x:f>IF($F$20=0,"",F12/$F$20)</x:f>
        <x:v>0.04268954184042003</x:v>
      </x:c>
      <x:c r="E27" s="103" t="n">
        <x:f>IF($G$20=0,"",G12/$G$20)</x:f>
        <x:v>0.024038780231192453</x:v>
      </x:c>
      <x:c r="F27" s="103" t="n">
        <x:f>IF($E$20=0,"",E12/$E$20)</x:f>
        <x:v>0.022852995059537626</x:v>
      </x:c>
      <x:c r="G27" s="103" t="n">
        <x:f>IF($I$20=0,"",I12/$I$20)</x:f>
        <x:v>0.01812099826634102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 t="str">
        <x:v>18~24歲</x:v>
      </x:c>
      <x:c r="B28" s="103" t="n">
        <x:f>IF($B$20=0,"",B13/$B$20)</x:f>
        <x:v>0.10084794093753954</x:v>
      </x:c>
      <x:c r="C28" s="103" t="n">
        <x:f>IF($C$20=0,"",C13/$C$20)</x:f>
        <x:v>0.10505095958146163</x:v>
      </x:c>
      <x:c r="D28" s="103" t="n">
        <x:f>IF($F$20=0,"",F13/$F$20)</x:f>
        <x:v>0.09063860368669922</x:v>
      </x:c>
      <x:c r="E28" s="103" t="n">
        <x:f>IF($G$20=0,"",G13/$G$20)</x:f>
        <x:v>0.09954431188715387</x:v>
      </x:c>
      <x:c r="F28" s="103" t="n">
        <x:f>IF($E$20=0,"",E13/$E$20)</x:f>
        <x:v>0.053770214864632515</x:v>
      </x:c>
      <x:c r="G28" s="103" t="n">
        <x:f>IF($I$20=0,"",I13/$I$20)</x:f>
        <x:v>0.0485262489776625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 t="str">
        <x:v>25~34歲</x:v>
      </x:c>
      <x:c r="B29" s="103" t="n">
        <x:f>IF($B$20=0,"",B14/$B$20)</x:f>
        <x:v>0.1958121913515159</x:v>
      </x:c>
      <x:c r="C29" s="103" t="n">
        <x:f>IF($C$20=0,"",C14/$C$20)</x:f>
        <x:v>0.24541997367325352</x:v>
      </x:c>
      <x:c r="D29" s="103" t="n">
        <x:f>IF($F$20=0,"",F14/$F$20)</x:f>
        <x:v>0.195306027162743</x:v>
      </x:c>
      <x:c r="E29" s="103" t="n">
        <x:f>IF($G$20=0,"",G14/$G$20)</x:f>
        <x:v>0.2320185062744225</x:v>
      </x:c>
      <x:c r="F29" s="103" t="n">
        <x:f>IF($E$20=0,"",E14/$E$20)</x:f>
        <x:v>0.11341609473608293</x:v>
      </x:c>
      <x:c r="G29" s="103" t="n">
        <x:f>IF($I$20=0,"",I14/$I$20)</x:f>
        <x:v>0.10819447976493811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v>35~44歲</x:v>
      </x:c>
      <x:c r="B30" s="103" t="n">
        <x:f>IF($B$20=0,"",B15/$B$20)</x:f>
        <x:v>0.17353311169017882</x:v>
      </x:c>
      <x:c r="C30" s="103" t="n">
        <x:f>IF($C$20=0,"",C15/$C$20)</x:f>
        <x:v>0.2321777236415735</x:v>
      </x:c>
      <x:c r="D30" s="103" t="n">
        <x:f>IF($F$20=0,"",F15/$F$20)</x:f>
        <x:v>0.1785547534800262</x:v>
      </x:c>
      <x:c r="E30" s="103" t="n">
        <x:f>IF($G$20=0,"",G15/$G$20)</x:f>
        <x:v>0.21522212458421222</x:v>
      </x:c>
      <x:c r="F30" s="103" t="n">
        <x:f>IF($E$20=0,"",E15/$E$20)</x:f>
        <x:v>0.10370429938743665</x:v>
      </x:c>
      <x:c r="G30" s="103" t="n">
        <x:f>IF($I$20=0,"",I15/$I$20)</x:f>
        <x:v>0.09955788526009464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v>45~54歲</x:v>
      </x:c>
      <x:c r="B31" s="103" t="n">
        <x:f>IF($B$20=0,"",B16/$B$20)</x:f>
        <x:v>0.14429528662934307</x:v>
      </x:c>
      <x:c r="C31" s="103" t="n">
        <x:f>IF($C$20=0,"",C16/$C$20)</x:f>
        <x:v>0.1903303515318908</x:v>
      </x:c>
      <x:c r="D31" s="103" t="n">
        <x:f>IF($F$20=0,"",F16/$F$20)</x:f>
        <x:v>0.15852371819226316</x:v>
      </x:c>
      <x:c r="E31" s="103" t="n">
        <x:f>IF($G$20=0,"",G16/$G$20)</x:f>
        <x:v>0.21081481657746104</x:v>
      </x:c>
      <x:c r="F31" s="103" t="n">
        <x:f>IF($E$20=0,"",E16/$E$20)</x:f>
        <x:v>0.0856382427581898</x:v>
      </x:c>
      <x:c r="G31" s="103" t="n">
        <x:f>IF($I$20=0,"",I16/$I$20)</x:f>
        <x:v>0.09247918869550087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v>55~64歲</x:v>
      </x:c>
      <x:c r="B32" s="103" t="n">
        <x:f>IF($B$20=0,"",B17/$B$20)</x:f>
        <x:v>0.08988513187645442</x:v>
      </x:c>
      <x:c r="C32" s="103" t="n">
        <x:f>IF($C$20=0,"",C17/$C$20)</x:f>
        <x:v>0.09465344639869246</x:v>
      </x:c>
      <x:c r="D32" s="103" t="n">
        <x:f>IF($F$20=0,"",F17/$F$20)</x:f>
        <x:v>0.09743157817642509</x:v>
      </x:c>
      <x:c r="E32" s="103" t="n">
        <x:f>IF($G$20=0,"",G17/$G$20)</x:f>
        <x:v>0.10589607047613543</x:v>
      </x:c>
      <x:c r="F32" s="103" t="n">
        <x:f>IF($E$20=0,"",E17/$E$20)</x:f>
        <x:v>0.04814733012442047</x:v>
      </x:c>
      <x:c r="G32" s="103" t="n">
        <x:f>IF($I$20=0,"",I17/$I$20)</x:f>
        <x:v>0.05193333619810911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65~100歲</x:v>
      </x:c>
      <x:c r="B33" s="103" t="n">
        <x:f>IF($B$20=0,"",B18/$B$20)</x:f>
        <x:v>0.21088496500226472</x:v>
      </x:c>
      <x:c r="C33" s="103" t="n">
        <x:f>IF($C$20=0,"",C18/$C$20)</x:f>
        <x:v>0.09476077056162864</x:v>
      </x:c>
      <x:c r="D33" s="103" t="n">
        <x:f>IF($F$20=0,"",F18/$F$20)</x:f>
        <x:v>0.21250589350044172</x:v>
      </x:c>
      <x:c r="E33" s="103" t="n">
        <x:f>IF($G$20=0,"",G18/$G$20)</x:f>
        <x:v>0.10103324432599461</x:v>
      </x:c>
      <x:c r="F33" s="103" t="n">
        <x:f>IF($E$20=0,"",E18/$E$20)</x:f>
        <x:v>0.08527720842857699</x:v>
      </x:c>
      <x:c r="G33" s="103" t="n">
        <x:f>IF($I$20=0,"",I18/$I$20)</x:f>
        <x:v>0.08634445923013143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v>未投保或資料有誤</x:v>
      </x:c>
      <x:c r="B34" s="103" t="n">
        <x:f>IF($B$20=0,"",B19/$B$20)</x:f>
        <x:v>0</x:v>
      </x:c>
      <x:c r="C34" s="103" t="n">
        <x:f>IF($C$20=0,"",C19/$C$20)</x:f>
        <x:v>0</x:v>
      </x:c>
      <x:c r="D34" s="103" t="n">
        <x:f>IF($F$20=0,"",F19/$F$20)</x:f>
        <x:v>0</x:v>
      </x:c>
      <x:c r="E34" s="103" t="n">
        <x:f>IF($G$20=0,"",G19/$G$20)</x:f>
        <x:v>0</x:v>
      </x:c>
      <x:c r="F34" s="103" t="n">
        <x:f>IF($E$20=0,"",E19/$E$20)</x:f>
        <x:v>0.4758816274156648</x:v>
      </x:c>
      <x:c r="G34" s="103" t="n">
        <x:f>IF($I$20=0,"",I19/$I$20)</x:f>
        <x:v>0.48497965187338726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pageMargins left="0.7" right="0.7" top="0.75" bottom="0.75" header="0.3" footer="0.3"/>
  <x:drawing xmlns:r="http://schemas.openxmlformats.org/officeDocument/2006/relationships" r:id="R727a900627bc4019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0" customHeight="1">
      <x:c r="A1" s="63" t="str">
        <x:v>雙北 2.0E 性別年齡月別明細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65" t="str">
        <x:v>2025-07 至 2026-08；台北市＋新北市；平日與假日；數值為租借次數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1"/>
      <x:c r="M3" s="1"/>
      <x:c r="N3" s="1"/>
      <x:c r="O3" s="1"/>
      <x:c r="P3" s="1"/>
      <x:c r="Q3" s="1"/>
    </x:row>
    <x:row r="4" ht="34" customHeight="1">
      <x:c r="A4" s="146" t="str">
        <x:v>說明</x:v>
      </x:c>
      <x:c r="B4" s="147" t="str">
        <x:v>「未投保或資料有誤」同時可能出現在性別與年齡分類；來源交叉表將未知性別數集中於未知年齡列。</x:v>
      </x:c>
      <x:c r="C4" s="147"/>
      <x:c r="D4" s="147"/>
      <x:c r="E4" s="147"/>
      <x:c r="F4" s="147"/>
      <x:c r="G4" s="147"/>
      <x:c r="H4" s="147"/>
      <x:c r="I4" s="147"/>
      <x:c r="J4" s="147"/>
      <x:c r="K4" s="147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6" customHeight="1">
      <x:c r="A6" s="150" t="str">
        <x:v>月份</x:v>
      </x:c>
      <x:c r="B6" s="150" t="str">
        <x:v>平假日</x:v>
      </x:c>
      <x:c r="C6" s="150" t="str">
        <x:v>年齡</x:v>
      </x:c>
      <x:c r="D6" s="150" t="str">
        <x:v>男租借次數</x:v>
      </x:c>
      <x:c r="E6" s="150" t="str">
        <x:v>女租借次數</x:v>
      </x:c>
      <x:c r="F6" s="150" t="str">
        <x:v>性別未投保或資料有誤</x:v>
      </x:c>
      <x:c r="G6" s="150" t="str">
        <x:v>合計</x:v>
      </x:c>
      <x:c r="H6" s="150" t="str">
        <x:v>男性年齡分布</x:v>
      </x:c>
      <x:c r="I6" s="150" t="str">
        <x:v>女性年齡分布</x:v>
      </x:c>
      <x:c r="J6" s="150" t="str">
        <x:v>未知性別年齡分布</x:v>
      </x:c>
      <x:c r="K6" s="150" t="str">
        <x:v>年齡帶占比</x:v>
      </x:c>
      <x:c r="L6" s="1"/>
      <x:c r="M6" s="1"/>
      <x:c r="N6" s="1"/>
      <x:c r="O6" s="1"/>
      <x:c r="P6" s="1"/>
      <x:c r="Q6" s="1"/>
    </x:row>
    <x:row r="7">
      <x:c r="A7" s="151" t="n">
        <x:v>45839</x:v>
      </x:c>
      <x:c r="B7" s="152" t="str">
        <x:v>平日</x:v>
      </x:c>
      <x:c r="C7" s="152" t="str">
        <x:v>08~11歲</x:v>
      </x:c>
      <x:c r="D7" s="40" t="n">
        <x:v>338</x:v>
      </x:c>
      <x:c r="E7" s="40" t="n">
        <x:v>99</x:v>
      </x:c>
      <x:c r="F7" s="153" t="n">
        <x:v>0</x:v>
      </x:c>
      <x:c r="G7" s="154" t="n">
        <x:f>SUM(D7:F7)</x:f>
        <x:v>437</x:v>
      </x:c>
      <x:c r="H7" s="155" t="n">
        <x:f>IF(SUMIFS($D$7:$D$286,$A$7:$A$286,A7,$B$7:$B$286,B7)=0,"",D7/SUMIFS($D$7:$D$286,$A$7:$A$286,A7,$B$7:$B$286,B7))</x:f>
        <x:v>0.0021877022653721684</x:v>
      </x:c>
      <x:c r="I7" s="155" t="n">
        <x:f>IF(SUMIFS($E$7:$E$286,$A$7:$A$286,A7,$B$7:$B$286,B7)=0,"",E7/SUMIFS($E$7:$E$286,$A$7:$A$286,A7,$B$7:$B$286,B7))</x:f>
        <x:v>0.0009036227055741655</x:v>
      </x:c>
      <x:c r="J7" s="155" t="n">
        <x:f>IF(SUMIFS($F$7:$F$286,$A$7:$A$286,A7,$B$7:$B$286,B7)=0,"",F7/SUMIFS($F$7:$F$286,$A$7:$A$286,A7,$B$7:$B$286,B7))</x:f>
        <x:v>0</x:v>
      </x:c>
      <x:c r="K7" s="155" t="n">
        <x:f>IF(SUMIFS($G$7:$G$286,$A$7:$A$286,A7,$B$7:$B$286,B7)=0,"",G7/SUMIFS($G$7:$G$286,$A$7:$A$286,A7,$B$7:$B$286,B7))</x:f>
        <x:v>0.001161066799866092</x:v>
      </x:c>
      <x:c r="L7" s="1"/>
      <x:c r="M7" s="1"/>
      <x:c r="N7" s="1"/>
      <x:c r="O7" s="1"/>
      <x:c r="P7" s="1"/>
      <x:c r="Q7" s="1"/>
    </x:row>
    <x:row r="8">
      <x:c r="A8" s="151" t="n">
        <x:v>45839</x:v>
      </x:c>
      <x:c r="B8" s="152" t="str">
        <x:v>平日</x:v>
      </x:c>
      <x:c r="C8" s="152" t="str">
        <x:v>12~14歲</x:v>
      </x:c>
      <x:c r="D8" s="40" t="n">
        <x:v>5508</x:v>
      </x:c>
      <x:c r="E8" s="40" t="n">
        <x:v>1435</x:v>
      </x:c>
      <x:c r="F8" s="153" t="n">
        <x:v>0</x:v>
      </x:c>
      <x:c r="G8" s="154" t="n">
        <x:f>SUM(D8:F8)</x:f>
        <x:v>6943</x:v>
      </x:c>
      <x:c r="H8" s="155" t="n">
        <x:f>IF(SUMIFS($D$7:$D$286,$A$7:$A$286,A8,$B$7:$B$286,B8)=0,"",D8/SUMIFS($D$7:$D$286,$A$7:$A$286,A8,$B$7:$B$286,B8))</x:f>
        <x:v>0.035650485436893205</x:v>
      </x:c>
      <x:c r="I8" s="155" t="n">
        <x:f>IF(SUMIFS($E$7:$E$286,$A$7:$A$286,A8,$B$7:$B$286,B8)=0,"",E8/SUMIFS($E$7:$E$286,$A$7:$A$286,A8,$B$7:$B$286,B8))</x:f>
        <x:v>0.013097965479787147</x:v>
      </x:c>
      <x:c r="J8" s="155" t="n">
        <x:f>IF(SUMIFS($F$7:$F$286,$A$7:$A$286,A8,$B$7:$B$286,B8)=0,"",F8/SUMIFS($F$7:$F$286,$A$7:$A$286,A8,$B$7:$B$286,B8))</x:f>
        <x:v>0</x:v>
      </x:c>
      <x:c r="K8" s="155" t="n">
        <x:f>IF(SUMIFS($G$7:$G$286,$A$7:$A$286,A8,$B$7:$B$286,B8)=0,"",G8/SUMIFS($G$7:$G$286,$A$7:$A$286,A8,$B$7:$B$286,B8))</x:f>
        <x:v>0.018446880529680267</x:v>
      </x:c>
      <x:c r="L8" s="1"/>
      <x:c r="M8" s="1"/>
      <x:c r="N8" s="1"/>
      <x:c r="O8" s="1"/>
      <x:c r="P8" s="1"/>
      <x:c r="Q8" s="1"/>
    </x:row>
    <x:row r="9">
      <x:c r="A9" s="151" t="n">
        <x:v>45839</x:v>
      </x:c>
      <x:c r="B9" s="152" t="str">
        <x:v>平日</x:v>
      </x:c>
      <x:c r="C9" s="152" t="str">
        <x:v>15~17歲</x:v>
      </x:c>
      <x:c r="D9" s="40" t="n">
        <x:v>11098</x:v>
      </x:c>
      <x:c r="E9" s="40" t="n">
        <x:v>3640</x:v>
      </x:c>
      <x:c r="F9" s="153" t="n">
        <x:v>0</x:v>
      </x:c>
      <x:c r="G9" s="154" t="n">
        <x:f>SUM(D9:F9)</x:f>
        <x:v>14738</x:v>
      </x:c>
      <x:c r="H9" s="155" t="n">
        <x:f>IF(SUMIFS($D$7:$D$286,$A$7:$A$286,A9,$B$7:$B$286,B9)=0,"",D9/SUMIFS($D$7:$D$286,$A$7:$A$286,A9,$B$7:$B$286,B9))</x:f>
        <x:v>0.07183171521035599</x:v>
      </x:c>
      <x:c r="I9" s="155" t="n">
        <x:f>IF(SUMIFS($E$7:$E$286,$A$7:$A$286,A9,$B$7:$B$286,B9)=0,"",E9/SUMIFS($E$7:$E$286,$A$7:$A$286,A9,$B$7:$B$286,B9))</x:f>
        <x:v>0.03322410755848447</x:v>
      </x:c>
      <x:c r="J9" s="155" t="n">
        <x:f>IF(SUMIFS($F$7:$F$286,$A$7:$A$286,A9,$B$7:$B$286,B9)=0,"",F9/SUMIFS($F$7:$F$286,$A$7:$A$286,A9,$B$7:$B$286,B9))</x:f>
        <x:v>0</x:v>
      </x:c>
      <x:c r="K9" s="155" t="n">
        <x:f>IF(SUMIFS($G$7:$G$286,$A$7:$A$286,A9,$B$7:$B$286,B9)=0,"",G9/SUMIFS($G$7:$G$286,$A$7:$A$286,A9,$B$7:$B$286,B9))</x:f>
        <x:v>0.03915744278358459</x:v>
      </x:c>
      <x:c r="L9" s="1"/>
      <x:c r="M9" s="1"/>
      <x:c r="N9" s="1"/>
      <x:c r="O9" s="1"/>
      <x:c r="P9" s="1"/>
      <x:c r="Q9" s="1"/>
    </x:row>
    <x:row r="10">
      <x:c r="A10" s="151" t="n">
        <x:v>45839</x:v>
      </x:c>
      <x:c r="B10" s="152" t="str">
        <x:v>平日</x:v>
      </x:c>
      <x:c r="C10" s="152" t="str">
        <x:v>18~24歲</x:v>
      </x:c>
      <x:c r="D10" s="40" t="n">
        <x:v>19700</x:v>
      </x:c>
      <x:c r="E10" s="40" t="n">
        <x:v>13363</x:v>
      </x:c>
      <x:c r="F10" s="153" t="n">
        <x:v>0</x:v>
      </x:c>
      <x:c r="G10" s="154" t="n">
        <x:f>SUM(D10:F10)</x:f>
        <x:v>33063</x:v>
      </x:c>
      <x:c r="H10" s="155" t="n">
        <x:f>IF(SUMIFS($D$7:$D$286,$A$7:$A$286,A10,$B$7:$B$286,B10)=0,"",D10/SUMIFS($D$7:$D$286,$A$7:$A$286,A10,$B$7:$B$286,B10))</x:f>
        <x:v>0.12750809061488674</x:v>
      </x:c>
      <x:c r="I10" s="155" t="n">
        <x:f>IF(SUMIFS($E$7:$E$286,$A$7:$A$286,A10,$B$7:$B$286,B10)=0,"",E10/SUMIFS($E$7:$E$286,$A$7:$A$286,A10,$B$7:$B$286,B10))</x:f>
        <x:v>0.12197081024835933</x:v>
      </x:c>
      <x:c r="J10" s="155" t="n">
        <x:f>IF(SUMIFS($F$7:$F$286,$A$7:$A$286,A10,$B$7:$B$286,B10)=0,"",F10/SUMIFS($F$7:$F$286,$A$7:$A$286,A10,$B$7:$B$286,B10))</x:f>
        <x:v>0</x:v>
      </x:c>
      <x:c r="K10" s="155" t="n">
        <x:f>IF(SUMIFS($G$7:$G$286,$A$7:$A$286,A10,$B$7:$B$286,B10)=0,"",G10/SUMIFS($G$7:$G$286,$A$7:$A$286,A10,$B$7:$B$286,B10))</x:f>
        <x:v>0.08784519817842701</x:v>
      </x:c>
      <x:c r="L10" s="1"/>
      <x:c r="M10" s="1"/>
      <x:c r="N10" s="1"/>
      <x:c r="O10" s="1"/>
      <x:c r="P10" s="1"/>
      <x:c r="Q10" s="1"/>
    </x:row>
    <x:row r="11">
      <x:c r="A11" s="151" t="n">
        <x:v>45839</x:v>
      </x:c>
      <x:c r="B11" s="152" t="str">
        <x:v>平日</x:v>
      </x:c>
      <x:c r="C11" s="152" t="str">
        <x:v>25~34歲</x:v>
      </x:c>
      <x:c r="D11" s="40" t="n">
        <x:v>31911</x:v>
      </x:c>
      <x:c r="E11" s="40" t="n">
        <x:v>28310</x:v>
      </x:c>
      <x:c r="F11" s="153" t="n">
        <x:v>0</x:v>
      </x:c>
      <x:c r="G11" s="154" t="n">
        <x:f>SUM(D11:F11)</x:f>
        <x:v>60221</x:v>
      </x:c>
      <x:c r="H11" s="155" t="n">
        <x:f>IF(SUMIFS($D$7:$D$286,$A$7:$A$286,A11,$B$7:$B$286,B11)=0,"",D11/SUMIFS($D$7:$D$286,$A$7:$A$286,A11,$B$7:$B$286,B11))</x:f>
        <x:v>0.20654368932038836</x:v>
      </x:c>
      <x:c r="I11" s="155" t="n">
        <x:f>IF(SUMIFS($E$7:$E$286,$A$7:$A$286,A11,$B$7:$B$286,B11)=0,"",E11/SUMIFS($E$7:$E$286,$A$7:$A$286,A11,$B$7:$B$286,B11))</x:f>
        <x:v>0.25839958378590533</x:v>
      </x:c>
      <x:c r="J11" s="155" t="n">
        <x:f>IF(SUMIFS($F$7:$F$286,$A$7:$A$286,A11,$B$7:$B$286,B11)=0,"",F11/SUMIFS($F$7:$F$286,$A$7:$A$286,A11,$B$7:$B$286,B11))</x:f>
        <x:v>0</x:v>
      </x:c>
      <x:c r="K11" s="155" t="n">
        <x:f>IF(SUMIFS($G$7:$G$286,$A$7:$A$286,A11,$B$7:$B$286,B11)=0,"",G11/SUMIFS($G$7:$G$286,$A$7:$A$286,A11,$B$7:$B$286,B11))</x:f>
        <x:v>0.16000138158978475</x:v>
      </x:c>
      <x:c r="L11" s="1"/>
      <x:c r="M11" s="1"/>
      <x:c r="N11" s="1"/>
      <x:c r="O11" s="1"/>
      <x:c r="P11" s="1"/>
      <x:c r="Q11" s="1"/>
    </x:row>
    <x:row r="12">
      <x:c r="A12" s="151" t="n">
        <x:v>45839</x:v>
      </x:c>
      <x:c r="B12" s="152" t="str">
        <x:v>平日</x:v>
      </x:c>
      <x:c r="C12" s="152" t="str">
        <x:v>35~44歲</x:v>
      </x:c>
      <x:c r="D12" s="40" t="n">
        <x:v>27475</x:v>
      </x:c>
      <x:c r="E12" s="40" t="n">
        <x:v>25568</x:v>
      </x:c>
      <x:c r="F12" s="153" t="n">
        <x:v>0</x:v>
      </x:c>
      <x:c r="G12" s="154" t="n">
        <x:f>SUM(D12:F12)</x:f>
        <x:v>53043</x:v>
      </x:c>
      <x:c r="H12" s="155" t="n">
        <x:f>IF(SUMIFS($D$7:$D$286,$A$7:$A$286,A12,$B$7:$B$286,B12)=0,"",D12/SUMIFS($D$7:$D$286,$A$7:$A$286,A12,$B$7:$B$286,B12))</x:f>
        <x:v>0.17783171521035598</x:v>
      </x:c>
      <x:c r="I12" s="155" t="n">
        <x:f>IF(SUMIFS($E$7:$E$286,$A$7:$A$286,A12,$B$7:$B$286,B12)=0,"",E12/SUMIFS($E$7:$E$286,$A$7:$A$286,A12,$B$7:$B$286,B12))</x:f>
        <x:v>0.23337197309212387</x:v>
      </x:c>
      <x:c r="J12" s="155" t="n">
        <x:f>IF(SUMIFS($F$7:$F$286,$A$7:$A$286,A12,$B$7:$B$286,B12)=0,"",F12/SUMIFS($F$7:$F$286,$A$7:$A$286,A12,$B$7:$B$286,B12))</x:f>
        <x:v>0</x:v>
      </x:c>
      <x:c r="K12" s="155" t="n">
        <x:f>IF(SUMIFS($G$7:$G$286,$A$7:$A$286,A12,$B$7:$B$286,B12)=0,"",G12/SUMIFS($G$7:$G$286,$A$7:$A$286,A12,$B$7:$B$286,B12))</x:f>
        <x:v>0.14093012875354033</x:v>
      </x:c>
      <x:c r="L12" s="1"/>
      <x:c r="M12" s="1"/>
      <x:c r="N12" s="1"/>
      <x:c r="O12" s="1"/>
      <x:c r="P12" s="1"/>
      <x:c r="Q12" s="1"/>
    </x:row>
    <x:row r="13">
      <x:c r="A13" s="151" t="n">
        <x:v>45839</x:v>
      </x:c>
      <x:c r="B13" s="152" t="str">
        <x:v>平日</x:v>
      </x:c>
      <x:c r="C13" s="152" t="str">
        <x:v>45~54歲</x:v>
      </x:c>
      <x:c r="D13" s="40" t="n">
        <x:v>22679</x:v>
      </x:c>
      <x:c r="E13" s="40" t="n">
        <x:v>20214</x:v>
      </x:c>
      <x:c r="F13" s="153" t="n">
        <x:v>0</x:v>
      </x:c>
      <x:c r="G13" s="154" t="n">
        <x:f>SUM(D13:F13)</x:f>
        <x:v>42893</x:v>
      </x:c>
      <x:c r="H13" s="155" t="n">
        <x:f>IF(SUMIFS($D$7:$D$286,$A$7:$A$286,A13,$B$7:$B$286,B13)=0,"",D13/SUMIFS($D$7:$D$286,$A$7:$A$286,A13,$B$7:$B$286,B13))</x:f>
        <x:v>0.14678964401294498</x:v>
      </x:c>
      <x:c r="I13" s="155" t="n">
        <x:f>IF(SUMIFS($E$7:$E$286,$A$7:$A$286,A13,$B$7:$B$286,B13)=0,"",E13/SUMIFS($E$7:$E$286,$A$7:$A$286,A13,$B$7:$B$286,B13))</x:f>
        <x:v>0.1845033269745069</x:v>
      </x:c>
      <x:c r="J13" s="155" t="n">
        <x:f>IF(SUMIFS($F$7:$F$286,$A$7:$A$286,A13,$B$7:$B$286,B13)=0,"",F13/SUMIFS($F$7:$F$286,$A$7:$A$286,A13,$B$7:$B$286,B13))</x:f>
        <x:v>0</x:v>
      </x:c>
      <x:c r="K13" s="155" t="n">
        <x:f>IF(SUMIFS($G$7:$G$286,$A$7:$A$286,A13,$B$7:$B$286,B13)=0,"",G13/SUMIFS($G$7:$G$286,$A$7:$A$286,A13,$B$7:$B$286,B13))</x:f>
        <x:v>0.11396255891683361</x:v>
      </x:c>
      <x:c r="L13" s="1"/>
      <x:c r="M13" s="1"/>
      <x:c r="N13" s="1"/>
      <x:c r="O13" s="1"/>
      <x:c r="P13" s="1"/>
      <x:c r="Q13" s="1"/>
    </x:row>
    <x:row r="14">
      <x:c r="A14" s="151" t="n">
        <x:v>45839</x:v>
      </x:c>
      <x:c r="B14" s="152" t="str">
        <x:v>平日</x:v>
      </x:c>
      <x:c r="C14" s="152" t="str">
        <x:v>55~64歲</x:v>
      </x:c>
      <x:c r="D14" s="40" t="n">
        <x:v>13814</x:v>
      </x:c>
      <x:c r="E14" s="40" t="n">
        <x:v>9381</x:v>
      </x:c>
      <x:c r="F14" s="153" t="n">
        <x:v>0</x:v>
      </x:c>
      <x:c r="G14" s="154" t="n">
        <x:f>SUM(D14:F14)</x:f>
        <x:v>23195</x:v>
      </x:c>
      <x:c r="H14" s="155" t="n">
        <x:f>IF(SUMIFS($D$7:$D$286,$A$7:$A$286,A14,$B$7:$B$286,B14)=0,"",D14/SUMIFS($D$7:$D$286,$A$7:$A$286,A14,$B$7:$B$286,B14))</x:f>
        <x:v>0.08941100323624596</x:v>
      </x:c>
      <x:c r="I14" s="155" t="n">
        <x:f>IF(SUMIFS($E$7:$E$286,$A$7:$A$286,A14,$B$7:$B$286,B14)=0,"",E14/SUMIFS($E$7:$E$286,$A$7:$A$286,A14,$B$7:$B$286,B14))</x:f>
        <x:v>0.08562509697970956</x:v>
      </x:c>
      <x:c r="J14" s="155" t="n">
        <x:f>IF(SUMIFS($F$7:$F$286,$A$7:$A$286,A14,$B$7:$B$286,B14)=0,"",F14/SUMIFS($F$7:$F$286,$A$7:$A$286,A14,$B$7:$B$286,B14))</x:f>
        <x:v>0</x:v>
      </x:c>
      <x:c r="K14" s="155" t="n">
        <x:f>IF(SUMIFS($G$7:$G$286,$A$7:$A$286,A14,$B$7:$B$286,B14)=0,"",G14/SUMIFS($G$7:$G$286,$A$7:$A$286,A14,$B$7:$B$286,B14))</x:f>
        <x:v>0.061626875109597266</x:v>
      </x:c>
      <x:c r="L14" s="1"/>
      <x:c r="M14" s="1"/>
      <x:c r="N14" s="1"/>
      <x:c r="O14" s="1"/>
      <x:c r="P14" s="1"/>
      <x:c r="Q14" s="1"/>
    </x:row>
    <x:row r="15">
      <x:c r="A15" s="151" t="n">
        <x:v>45839</x:v>
      </x:c>
      <x:c r="B15" s="152" t="str">
        <x:v>平日</x:v>
      </x:c>
      <x:c r="C15" s="152" t="str">
        <x:v>65~100歲</x:v>
      </x:c>
      <x:c r="D15" s="40" t="n">
        <x:v>21977</x:v>
      </x:c>
      <x:c r="E15" s="40" t="n">
        <x:v>7549</x:v>
      </x:c>
      <x:c r="F15" s="153" t="n">
        <x:v>0</x:v>
      </x:c>
      <x:c r="G15" s="154" t="n">
        <x:f>SUM(D15:F15)</x:f>
        <x:v>29526</x:v>
      </x:c>
      <x:c r="H15" s="155" t="n">
        <x:f>IF(SUMIFS($D$7:$D$286,$A$7:$A$286,A15,$B$7:$B$286,B15)=0,"",D15/SUMIFS($D$7:$D$286,$A$7:$A$286,A15,$B$7:$B$286,B15))</x:f>
        <x:v>0.14224595469255663</x:v>
      </x:c>
      <x:c r="I15" s="155" t="n">
        <x:f>IF(SUMIFS($E$7:$E$286,$A$7:$A$286,A15,$B$7:$B$286,B15)=0,"",E15/SUMIFS($E$7:$E$286,$A$7:$A$286,A15,$B$7:$B$286,B15))</x:f>
        <x:v>0.06890351317554924</x:v>
      </x:c>
      <x:c r="J15" s="155" t="n">
        <x:f>IF(SUMIFS($F$7:$F$286,$A$7:$A$286,A15,$B$7:$B$286,B15)=0,"",F15/SUMIFS($F$7:$F$286,$A$7:$A$286,A15,$B$7:$B$286,B15))</x:f>
        <x:v>0</x:v>
      </x:c>
      <x:c r="K15" s="155" t="n">
        <x:f>IF(SUMIFS($G$7:$G$286,$A$7:$A$286,A15,$B$7:$B$286,B15)=0,"",G15/SUMIFS($G$7:$G$286,$A$7:$A$286,A15,$B$7:$B$286,B15))</x:f>
        <x:v>0.07844773073877857</x:v>
      </x:c>
      <x:c r="L15" s="1"/>
      <x:c r="M15" s="1"/>
      <x:c r="N15" s="1"/>
      <x:c r="O15" s="1"/>
      <x:c r="P15" s="1"/>
      <x:c r="Q15" s="1"/>
    </x:row>
    <x:row r="16">
      <x:c r="A16" s="151" t="n">
        <x:v>45839</x:v>
      </x:c>
      <x:c r="B16" s="152" t="str">
        <x:v>平日</x:v>
      </x:c>
      <x:c r="C16" s="152" t="str">
        <x:v>未投保或資料有誤</x:v>
      </x:c>
      <x:c r="D16" s="40" t="n">
        <x:v>0</x:v>
      </x:c>
      <x:c r="E16" s="40" t="n">
        <x:v>0</x:v>
      </x:c>
      <x:c r="F16" s="153" t="n">
        <x:v>112319</x:v>
      </x:c>
      <x:c r="G16" s="154" t="n">
        <x:f>SUM(D16:F16)</x:f>
        <x:v>112319</x:v>
      </x:c>
      <x:c r="H16" s="155" t="n">
        <x:f>IF(SUMIFS($D$7:$D$286,$A$7:$A$286,A16,$B$7:$B$286,B16)=0,"",D16/SUMIFS($D$7:$D$286,$A$7:$A$286,A16,$B$7:$B$286,B16))</x:f>
        <x:v>0</x:v>
      </x:c>
      <x:c r="I16" s="155" t="n">
        <x:f>IF(SUMIFS($E$7:$E$286,$A$7:$A$286,A16,$B$7:$B$286,B16)=0,"",E16/SUMIFS($E$7:$E$286,$A$7:$A$286,A16,$B$7:$B$286,B16))</x:f>
        <x:v>0</x:v>
      </x:c>
      <x:c r="J16" s="155" t="n">
        <x:f>IF(SUMIFS($F$7:$F$286,$A$7:$A$286,A16,$B$7:$B$286,B16)=0,"",F16/SUMIFS($F$7:$F$286,$A$7:$A$286,A16,$B$7:$B$286,B16))</x:f>
        <x:v>1</x:v>
      </x:c>
      <x:c r="K16" s="155" t="n">
        <x:f>IF(SUMIFS($G$7:$G$286,$A$7:$A$286,A16,$B$7:$B$286,B16)=0,"",G16/SUMIFS($G$7:$G$286,$A$7:$A$286,A16,$B$7:$B$286,B16))</x:f>
        <x:v>0.29842073659990753</x:v>
      </x:c>
      <x:c r="L16" s="1"/>
      <x:c r="M16" s="1"/>
      <x:c r="N16" s="1"/>
      <x:c r="O16" s="1"/>
      <x:c r="P16" s="1"/>
      <x:c r="Q16" s="1"/>
    </x:row>
    <x:row r="17">
      <x:c r="A17" s="151" t="n">
        <x:v>45839</x:v>
      </x:c>
      <x:c r="B17" s="152" t="str">
        <x:v>假日</x:v>
      </x:c>
      <x:c r="C17" s="152" t="str">
        <x:v>08~11歲</x:v>
      </x:c>
      <x:c r="D17" s="40" t="n">
        <x:v>127</x:v>
      </x:c>
      <x:c r="E17" s="40" t="n">
        <x:v>32</x:v>
      </x:c>
      <x:c r="F17" s="153" t="n">
        <x:v>0</x:v>
      </x:c>
      <x:c r="G17" s="154" t="n">
        <x:f>SUM(D17:F17)</x:f>
        <x:v>159</x:v>
      </x:c>
      <x:c r="H17" s="155" t="n">
        <x:f>IF(SUMIFS($D$7:$D$286,$A$7:$A$286,A17,$B$7:$B$286,B17)=0,"",D17/SUMIFS($D$7:$D$286,$A$7:$A$286,A17,$B$7:$B$286,B17))</x:f>
        <x:v>0.0023656074209291063</x:v>
      </x:c>
      <x:c r="I17" s="155" t="n">
        <x:f>IF(SUMIFS($E$7:$E$286,$A$7:$A$286,A17,$B$7:$B$286,B17)=0,"",E17/SUMIFS($E$7:$E$286,$A$7:$A$286,A17,$B$7:$B$286,B17))</x:f>
        <x:v>0.0009012561257252295</x:v>
      </x:c>
      <x:c r="J17" s="155" t="n">
        <x:f>IF(SUMIFS($F$7:$F$286,$A$7:$A$286,A17,$B$7:$B$286,B17)=0,"",F17/SUMIFS($F$7:$F$286,$A$7:$A$286,A17,$B$7:$B$286,B17))</x:f>
        <x:v>0</x:v>
      </x:c>
      <x:c r="K17" s="155" t="n">
        <x:f>IF(SUMIFS($G$7:$G$286,$A$7:$A$286,A17,$B$7:$B$286,B17)=0,"",G17/SUMIFS($G$7:$G$286,$A$7:$A$286,A17,$B$7:$B$286,B17))</x:f>
        <x:v>0.0012292420447165785</x:v>
      </x:c>
      <x:c r="L17" s="1"/>
      <x:c r="M17" s="1"/>
      <x:c r="N17" s="1"/>
      <x:c r="O17" s="1"/>
      <x:c r="P17" s="1"/>
      <x:c r="Q17" s="1"/>
    </x:row>
    <x:row r="18">
      <x:c r="A18" s="151" t="n">
        <x:v>45839</x:v>
      </x:c>
      <x:c r="B18" s="152" t="str">
        <x:v>假日</x:v>
      </x:c>
      <x:c r="C18" s="152" t="str">
        <x:v>12~14歲</x:v>
      </x:c>
      <x:c r="D18" s="40" t="n">
        <x:v>1326</x:v>
      </x:c>
      <x:c r="E18" s="40" t="n">
        <x:v>360</x:v>
      </x:c>
      <x:c r="F18" s="153" t="n">
        <x:v>0</x:v>
      </x:c>
      <x:c r="G18" s="154" t="n">
        <x:f>SUM(D18:F18)</x:f>
        <x:v>1686</x:v>
      </x:c>
      <x:c r="H18" s="155" t="n">
        <x:f>IF(SUMIFS($D$7:$D$286,$A$7:$A$286,A18,$B$7:$B$286,B18)=0,"",D18/SUMIFS($D$7:$D$286,$A$7:$A$286,A18,$B$7:$B$286,B18))</x:f>
        <x:v>0.024699176694110196</x:v>
      </x:c>
      <x:c r="I18" s="155" t="n">
        <x:f>IF(SUMIFS($E$7:$E$286,$A$7:$A$286,A18,$B$7:$B$286,B18)=0,"",E18/SUMIFS($E$7:$E$286,$A$7:$A$286,A18,$B$7:$B$286,B18))</x:f>
        <x:v>0.010139131414408833</x:v>
      </x:c>
      <x:c r="J18" s="155" t="n">
        <x:f>IF(SUMIFS($F$7:$F$286,$A$7:$A$286,A18,$B$7:$B$286,B18)=0,"",F18/SUMIFS($F$7:$F$286,$A$7:$A$286,A18,$B$7:$B$286,B18))</x:f>
        <x:v>0</x:v>
      </x:c>
      <x:c r="K18" s="155" t="n">
        <x:f>IF(SUMIFS($G$7:$G$286,$A$7:$A$286,A18,$B$7:$B$286,B18)=0,"",G18/SUMIFS($G$7:$G$286,$A$7:$A$286,A18,$B$7:$B$286,B18))</x:f>
        <x:v>0.013034604323221078</x:v>
      </x:c>
      <x:c r="L18" s="1"/>
      <x:c r="M18" s="1"/>
      <x:c r="N18" s="1"/>
      <x:c r="O18" s="1"/>
      <x:c r="P18" s="1"/>
      <x:c r="Q18" s="1"/>
    </x:row>
    <x:row r="19">
      <x:c r="A19" s="151" t="n">
        <x:v>45839</x:v>
      </x:c>
      <x:c r="B19" s="152" t="str">
        <x:v>假日</x:v>
      </x:c>
      <x:c r="C19" s="152" t="str">
        <x:v>15~17歲</x:v>
      </x:c>
      <x:c r="D19" s="40" t="n">
        <x:v>2818</x:v>
      </x:c>
      <x:c r="E19" s="40" t="n">
        <x:v>990</x:v>
      </x:c>
      <x:c r="F19" s="153" t="n">
        <x:v>0</x:v>
      </x:c>
      <x:c r="G19" s="154" t="n">
        <x:f>SUM(D19:F19)</x:f>
        <x:v>3808</x:v>
      </x:c>
      <x:c r="H19" s="155" t="n">
        <x:f>IF(SUMIFS($D$7:$D$286,$A$7:$A$286,A19,$B$7:$B$286,B19)=0,"",D19/SUMIFS($D$7:$D$286,$A$7:$A$286,A19,$B$7:$B$286,B19))</x:f>
        <x:v>0.05249040718250568</x:v>
      </x:c>
      <x:c r="I19" s="155" t="n">
        <x:f>IF(SUMIFS($E$7:$E$286,$A$7:$A$286,A19,$B$7:$B$286,B19)=0,"",E19/SUMIFS($E$7:$E$286,$A$7:$A$286,A19,$B$7:$B$286,B19))</x:f>
        <x:v>0.02788261138962429</x:v>
      </x:c>
      <x:c r="J19" s="155" t="n">
        <x:f>IF(SUMIFS($F$7:$F$286,$A$7:$A$286,A19,$B$7:$B$286,B19)=0,"",F19/SUMIFS($F$7:$F$286,$A$7:$A$286,A19,$B$7:$B$286,B19))</x:f>
        <x:v>0</x:v>
      </x:c>
      <x:c r="K19" s="155" t="n">
        <x:f>IF(SUMIFS($G$7:$G$286,$A$7:$A$286,A19,$B$7:$B$286,B19)=0,"",G19/SUMIFS($G$7:$G$286,$A$7:$A$286,A19,$B$7:$B$286,B19))</x:f>
        <x:v>0.029439960416859944</x:v>
      </x:c>
      <x:c r="L19" s="1"/>
      <x:c r="M19" s="1"/>
      <x:c r="N19" s="1"/>
      <x:c r="O19" s="1"/>
      <x:c r="P19" s="1"/>
      <x:c r="Q19" s="1"/>
    </x:row>
    <x:row r="20">
      <x:c r="A20" s="151" t="n">
        <x:v>45839</x:v>
      </x:c>
      <x:c r="B20" s="152" t="str">
        <x:v>假日</x:v>
      </x:c>
      <x:c r="C20" s="152" t="str">
        <x:v>18~24歲</x:v>
      </x:c>
      <x:c r="D20" s="40" t="n">
        <x:v>6038</x:v>
      </x:c>
      <x:c r="E20" s="40" t="n">
        <x:v>4159</x:v>
      </x:c>
      <x:c r="F20" s="153" t="n">
        <x:v>0</x:v>
      </x:c>
      <x:c r="G20" s="154" t="n">
        <x:f>SUM(D20:F20)</x:f>
        <x:v>10197</x:v>
      </x:c>
      <x:c r="H20" s="155" t="n">
        <x:f>IF(SUMIFS($D$7:$D$286,$A$7:$A$286,A20,$B$7:$B$286,B20)=0,"",D20/SUMIFS($D$7:$D$286,$A$7:$A$286,A20,$B$7:$B$286,B20))</x:f>
        <x:v>0.11246880005960586</x:v>
      </x:c>
      <x:c r="I20" s="155" t="n">
        <x:f>IF(SUMIFS($E$7:$E$286,$A$7:$A$286,A20,$B$7:$B$286,B20)=0,"",E20/SUMIFS($E$7:$E$286,$A$7:$A$286,A20,$B$7:$B$286,B20))</x:f>
        <x:v>0.11713513209035092</x:v>
      </x:c>
      <x:c r="J20" s="155" t="n">
        <x:f>IF(SUMIFS($F$7:$F$286,$A$7:$A$286,A20,$B$7:$B$286,B20)=0,"",F20/SUMIFS($F$7:$F$286,$A$7:$A$286,A20,$B$7:$B$286,B20))</x:f>
        <x:v>0</x:v>
      </x:c>
      <x:c r="K20" s="155" t="n">
        <x:f>IF(SUMIFS($G$7:$G$286,$A$7:$A$286,A20,$B$7:$B$286,B20)=0,"",G20/SUMIFS($G$7:$G$286,$A$7:$A$286,A20,$B$7:$B$286,B20))</x:f>
        <x:v>0.07883384358474813</x:v>
      </x:c>
      <x:c r="L20" s="1"/>
      <x:c r="M20" s="1"/>
      <x:c r="N20" s="1"/>
      <x:c r="O20" s="1"/>
      <x:c r="P20" s="1"/>
      <x:c r="Q20" s="1"/>
    </x:row>
    <x:row r="21">
      <x:c r="A21" s="151" t="n">
        <x:v>45839</x:v>
      </x:c>
      <x:c r="B21" s="152" t="str">
        <x:v>假日</x:v>
      </x:c>
      <x:c r="C21" s="152" t="str">
        <x:v>25~34歲</x:v>
      </x:c>
      <x:c r="D21" s="40" t="n">
        <x:v>11436</x:v>
      </x:c>
      <x:c r="E21" s="40" t="n">
        <x:v>8754</x:v>
      </x:c>
      <x:c r="F21" s="153" t="n">
        <x:v>0</x:v>
      </x:c>
      <x:c r="G21" s="154" t="n">
        <x:f>SUM(D21:F21)</x:f>
        <x:v>20190</x:v>
      </x:c>
      <x:c r="H21" s="155" t="n">
        <x:f>IF(SUMIFS($D$7:$D$286,$A$7:$A$286,A21,$B$7:$B$286,B21)=0,"",D21/SUMIFS($D$7:$D$286,$A$7:$A$286,A21,$B$7:$B$286,B21))</x:f>
        <x:v>0.2130164288641359</x:v>
      </x:c>
      <x:c r="I21" s="155" t="n">
        <x:f>IF(SUMIFS($E$7:$E$286,$A$7:$A$286,A21,$B$7:$B$286,B21)=0,"",E21/SUMIFS($E$7:$E$286,$A$7:$A$286,A21,$B$7:$B$286,B21))</x:f>
        <x:v>0.2465498788937081</x:v>
      </x:c>
      <x:c r="J21" s="155" t="n">
        <x:f>IF(SUMIFS($F$7:$F$286,$A$7:$A$286,A21,$B$7:$B$286,B21)=0,"",F21/SUMIFS($F$7:$F$286,$A$7:$A$286,A21,$B$7:$B$286,B21))</x:f>
        <x:v>0</x:v>
      </x:c>
      <x:c r="K21" s="155" t="n">
        <x:f>IF(SUMIFS($G$7:$G$286,$A$7:$A$286,A21,$B$7:$B$286,B21)=0,"",G21/SUMIFS($G$7:$G$286,$A$7:$A$286,A21,$B$7:$B$286,B21))</x:f>
        <x:v>0.15609054643287876</x:v>
      </x:c>
      <x:c r="L21" s="1"/>
      <x:c r="M21" s="1"/>
      <x:c r="N21" s="1"/>
      <x:c r="O21" s="1"/>
      <x:c r="P21" s="1"/>
      <x:c r="Q21" s="1"/>
    </x:row>
    <x:row r="22">
      <x:c r="A22" s="151" t="n">
        <x:v>45839</x:v>
      </x:c>
      <x:c r="B22" s="152" t="str">
        <x:v>假日</x:v>
      </x:c>
      <x:c r="C22" s="152" t="str">
        <x:v>35~44歲</x:v>
      </x:c>
      <x:c r="D22" s="40" t="n">
        <x:v>9973</x:v>
      </x:c>
      <x:c r="E22" s="40" t="n">
        <x:v>7630</x:v>
      </x:c>
      <x:c r="F22" s="153" t="n">
        <x:v>0</x:v>
      </x:c>
      <x:c r="G22" s="154" t="n">
        <x:f>SUM(D22:F22)</x:f>
        <x:v>17603</x:v>
      </x:c>
      <x:c r="H22" s="155" t="n">
        <x:f>IF(SUMIFS($D$7:$D$286,$A$7:$A$286,A22,$B$7:$B$286,B22)=0,"",D22/SUMIFS($D$7:$D$286,$A$7:$A$286,A22,$B$7:$B$286,B22))</x:f>
        <x:v>0.18576537644823604</x:v>
      </x:c>
      <x:c r="I22" s="155" t="n">
        <x:f>IF(SUMIFS($E$7:$E$286,$A$7:$A$286,A22,$B$7:$B$286,B22)=0,"",E22/SUMIFS($E$7:$E$286,$A$7:$A$286,A22,$B$7:$B$286,B22))</x:f>
        <x:v>0.21489325747760943</x:v>
      </x:c>
      <x:c r="J22" s="155" t="n">
        <x:f>IF(SUMIFS($F$7:$F$286,$A$7:$A$286,A22,$B$7:$B$286,B22)=0,"",F22/SUMIFS($F$7:$F$286,$A$7:$A$286,A22,$B$7:$B$286,B22))</x:f>
        <x:v>0</x:v>
      </x:c>
      <x:c r="K22" s="155" t="n">
        <x:f>IF(SUMIFS($G$7:$G$286,$A$7:$A$286,A22,$B$7:$B$286,B22)=0,"",G22/SUMIFS($G$7:$G$286,$A$7:$A$286,A22,$B$7:$B$286,B22))</x:f>
        <x:v>0.13609023718959706</x:v>
      </x:c>
      <x:c r="L22" s="1"/>
      <x:c r="M22" s="1"/>
      <x:c r="N22" s="1"/>
      <x:c r="O22" s="1"/>
      <x:c r="P22" s="1"/>
      <x:c r="Q22" s="1"/>
    </x:row>
    <x:row r="23">
      <x:c r="A23" s="151" t="n">
        <x:v>45839</x:v>
      </x:c>
      <x:c r="B23" s="152" t="str">
        <x:v>假日</x:v>
      </x:c>
      <x:c r="C23" s="152" t="str">
        <x:v>45~54歲</x:v>
      </x:c>
      <x:c r="D23" s="40" t="n">
        <x:v>8630</x:v>
      </x:c>
      <x:c r="E23" s="40" t="n">
        <x:v>7270</x:v>
      </x:c>
      <x:c r="F23" s="153" t="n">
        <x:v>0</x:v>
      </x:c>
      <x:c r="G23" s="154" t="n">
        <x:f>SUM(D23:F23)</x:f>
        <x:v>15900</x:v>
      </x:c>
      <x:c r="H23" s="155" t="n">
        <x:f>IF(SUMIFS($D$7:$D$286,$A$7:$A$286,A23,$B$7:$B$286,B23)=0,"",D23/SUMIFS($D$7:$D$286,$A$7:$A$286,A23,$B$7:$B$286,B23))</x:f>
        <x:v>0.1607495436426629</x:v>
      </x:c>
      <x:c r="I23" s="155" t="n">
        <x:f>IF(SUMIFS($E$7:$E$286,$A$7:$A$286,A23,$B$7:$B$286,B23)=0,"",E23/SUMIFS($E$7:$E$286,$A$7:$A$286,A23,$B$7:$B$286,B23))</x:f>
        <x:v>0.2047541260632006</x:v>
      </x:c>
      <x:c r="J23" s="155" t="n">
        <x:f>IF(SUMIFS($F$7:$F$286,$A$7:$A$286,A23,$B$7:$B$286,B23)=0,"",F23/SUMIFS($F$7:$F$286,$A$7:$A$286,A23,$B$7:$B$286,B23))</x:f>
        <x:v>0</x:v>
      </x:c>
      <x:c r="K23" s="155" t="n">
        <x:f>IF(SUMIFS($G$7:$G$286,$A$7:$A$286,A23,$B$7:$B$286,B23)=0,"",G23/SUMIFS($G$7:$G$286,$A$7:$A$286,A23,$B$7:$B$286,B23))</x:f>
        <x:v>0.12292420447165785</x:v>
      </x:c>
      <x:c r="L23" s="1"/>
      <x:c r="M23" s="1"/>
      <x:c r="N23" s="1"/>
      <x:c r="O23" s="1"/>
      <x:c r="P23" s="1"/>
      <x:c r="Q23" s="1"/>
    </x:row>
    <x:row r="24">
      <x:c r="A24" s="151" t="n">
        <x:v>45839</x:v>
      </x:c>
      <x:c r="B24" s="152" t="str">
        <x:v>假日</x:v>
      </x:c>
      <x:c r="C24" s="152" t="str">
        <x:v>55~64歲</x:v>
      </x:c>
      <x:c r="D24" s="40" t="n">
        <x:v>5191</x:v>
      </x:c>
      <x:c r="E24" s="40" t="n">
        <x:v>3592</x:v>
      </x:c>
      <x:c r="F24" s="153" t="n">
        <x:v>0</x:v>
      </x:c>
      <x:c r="G24" s="154" t="n">
        <x:f>SUM(D24:F24)</x:f>
        <x:v>8783</x:v>
      </x:c>
      <x:c r="H24" s="155" t="n">
        <x:f>IF(SUMIFS($D$7:$D$286,$A$7:$A$286,A24,$B$7:$B$286,B24)=0,"",D24/SUMIFS($D$7:$D$286,$A$7:$A$286,A24,$B$7:$B$286,B24))</x:f>
        <x:v>0.09669187497671647</x:v>
      </x:c>
      <x:c r="I24" s="155" t="n">
        <x:f>IF(SUMIFS($E$7:$E$286,$A$7:$A$286,A24,$B$7:$B$286,B24)=0,"",E24/SUMIFS($E$7:$E$286,$A$7:$A$286,A24,$B$7:$B$286,B24))</x:f>
        <x:v>0.10116600011265701</x:v>
      </x:c>
      <x:c r="J24" s="155" t="n">
        <x:f>IF(SUMIFS($F$7:$F$286,$A$7:$A$286,A24,$B$7:$B$286,B24)=0,"",F24/SUMIFS($F$7:$F$286,$A$7:$A$286,A24,$B$7:$B$286,B24))</x:f>
        <x:v>0</x:v>
      </x:c>
      <x:c r="K24" s="155" t="n">
        <x:f>IF(SUMIFS($G$7:$G$286,$A$7:$A$286,A24,$B$7:$B$286,B24)=0,"",G24/SUMIFS($G$7:$G$286,$A$7:$A$286,A24,$B$7:$B$286,B24))</x:f>
        <x:v>0.06790209357701704</x:v>
      </x:c>
      <x:c r="L24" s="1"/>
      <x:c r="M24" s="1"/>
      <x:c r="N24" s="1"/>
      <x:c r="O24" s="1"/>
      <x:c r="P24" s="1"/>
      <x:c r="Q24" s="1"/>
    </x:row>
    <x:row r="25">
      <x:c r="A25" s="151" t="n">
        <x:v>45839</x:v>
      </x:c>
      <x:c r="B25" s="152" t="str">
        <x:v>假日</x:v>
      </x:c>
      <x:c r="C25" s="152" t="str">
        <x:v>65~100歲</x:v>
      </x:c>
      <x:c r="D25" s="40" t="n">
        <x:v>8147</x:v>
      </x:c>
      <x:c r="E25" s="40" t="n">
        <x:v>2719</x:v>
      </x:c>
      <x:c r="F25" s="153" t="n">
        <x:v>0</x:v>
      </x:c>
      <x:c r="G25" s="154" t="n">
        <x:f>SUM(D25:F25)</x:f>
        <x:v>10866</x:v>
      </x:c>
      <x:c r="H25" s="155" t="n">
        <x:f>IF(SUMIFS($D$7:$D$286,$A$7:$A$286,A25,$B$7:$B$286,B25)=0,"",D25/SUMIFS($D$7:$D$286,$A$7:$A$286,A25,$B$7:$B$286,B25))</x:f>
        <x:v>0.15175278471109788</x:v>
      </x:c>
      <x:c r="I25" s="155" t="n">
        <x:f>IF(SUMIFS($E$7:$E$286,$A$7:$A$286,A25,$B$7:$B$286,B25)=0,"",E25/SUMIFS($E$7:$E$286,$A$7:$A$286,A25,$B$7:$B$286,B25))</x:f>
        <x:v>0.07657860643271559</x:v>
      </x:c>
      <x:c r="J25" s="155" t="n">
        <x:f>IF(SUMIFS($F$7:$F$286,$A$7:$A$286,A25,$B$7:$B$286,B25)=0,"",F25/SUMIFS($F$7:$F$286,$A$7:$A$286,A25,$B$7:$B$286,B25))</x:f>
        <x:v>0</x:v>
      </x:c>
      <x:c r="K25" s="155" t="n">
        <x:f>IF(SUMIFS($G$7:$G$286,$A$7:$A$286,A25,$B$7:$B$286,B25)=0,"",G25/SUMIFS($G$7:$G$286,$A$7:$A$286,A25,$B$7:$B$286,B25))</x:f>
        <x:v>0.08400593747100844</x:v>
      </x:c>
      <x:c r="L25" s="1"/>
      <x:c r="M25" s="1"/>
      <x:c r="N25" s="1"/>
      <x:c r="O25" s="1"/>
      <x:c r="P25" s="1"/>
      <x:c r="Q25" s="1"/>
    </x:row>
    <x:row r="26">
      <x:c r="A26" s="151" t="n">
        <x:v>45839</x:v>
      </x:c>
      <x:c r="B26" s="152" t="str">
        <x:v>假日</x:v>
      </x:c>
      <x:c r="C26" s="152" t="str">
        <x:v>未投保或資料有誤</x:v>
      </x:c>
      <x:c r="D26" s="40" t="n">
        <x:v>0</x:v>
      </x:c>
      <x:c r="E26" s="40" t="n">
        <x:v>0</x:v>
      </x:c>
      <x:c r="F26" s="153" t="n">
        <x:v>40156</x:v>
      </x:c>
      <x:c r="G26" s="154" t="n">
        <x:f>SUM(D26:F26)</x:f>
        <x:v>40156</x:v>
      </x:c>
      <x:c r="H26" s="155" t="n">
        <x:f>IF(SUMIFS($D$7:$D$286,$A$7:$A$286,A26,$B$7:$B$286,B26)=0,"",D26/SUMIFS($D$7:$D$286,$A$7:$A$286,A26,$B$7:$B$286,B26))</x:f>
        <x:v>0</x:v>
      </x:c>
      <x:c r="I26" s="155" t="n">
        <x:f>IF(SUMIFS($E$7:$E$286,$A$7:$A$286,A26,$B$7:$B$286,B26)=0,"",E26/SUMIFS($E$7:$E$286,$A$7:$A$286,A26,$B$7:$B$286,B26))</x:f>
        <x:v>0</x:v>
      </x:c>
      <x:c r="J26" s="155" t="n">
        <x:f>IF(SUMIFS($F$7:$F$286,$A$7:$A$286,A26,$B$7:$B$286,B26)=0,"",F26/SUMIFS($F$7:$F$286,$A$7:$A$286,A26,$B$7:$B$286,B26))</x:f>
        <x:v>1</x:v>
      </x:c>
      <x:c r="K26" s="155" t="n">
        <x:f>IF(SUMIFS($G$7:$G$286,$A$7:$A$286,A26,$B$7:$B$286,B26)=0,"",G26/SUMIFS($G$7:$G$286,$A$7:$A$286,A26,$B$7:$B$286,B26))</x:f>
        <x:v>0.31044933048829515</x:v>
      </x:c>
      <x:c r="L26" s="1"/>
      <x:c r="M26" s="1"/>
      <x:c r="N26" s="1"/>
      <x:c r="O26" s="1"/>
      <x:c r="P26" s="1"/>
      <x:c r="Q26" s="1"/>
    </x:row>
    <x:row r="27">
      <x:c r="A27" s="151" t="n">
        <x:v>45870</x:v>
      </x:c>
      <x:c r="B27" s="152" t="str">
        <x:v>平日</x:v>
      </x:c>
      <x:c r="C27" s="152" t="str">
        <x:v>08~11歲</x:v>
      </x:c>
      <x:c r="D27" s="40" t="n">
        <x:v>388</x:v>
      </x:c>
      <x:c r="E27" s="40" t="n">
        <x:v>115</x:v>
      </x:c>
      <x:c r="F27" s="153" t="n">
        <x:v>0</x:v>
      </x:c>
      <x:c r="G27" s="154" t="n">
        <x:f>SUM(D27:F27)</x:f>
        <x:v>503</x:v>
      </x:c>
      <x:c r="H27" s="155" t="n">
        <x:f>IF(SUMIFS($D$7:$D$286,$A$7:$A$286,A27,$B$7:$B$286,B27)=0,"",D27/SUMIFS($D$7:$D$286,$A$7:$A$286,A27,$B$7:$B$286,B27))</x:f>
        <x:v>0.0024723296609467493</x:v>
      </x:c>
      <x:c r="I27" s="155" t="n">
        <x:f>IF(SUMIFS($E$7:$E$286,$A$7:$A$286,A27,$B$7:$B$286,B27)=0,"",E27/SUMIFS($E$7:$E$286,$A$7:$A$286,A27,$B$7:$B$286,B27))</x:f>
        <x:v>0.001011842961972302</x:v>
      </x:c>
      <x:c r="J27" s="155" t="n">
        <x:f>IF(SUMIFS($F$7:$F$286,$A$7:$A$286,A27,$B$7:$B$286,B27)=0,"",F27/SUMIFS($F$7:$F$286,$A$7:$A$286,A27,$B$7:$B$286,B27))</x:f>
        <x:v>0</x:v>
      </x:c>
      <x:c r="K27" s="155" t="n">
        <x:f>IF(SUMIFS($G$7:$G$286,$A$7:$A$286,A27,$B$7:$B$286,B27)=0,"",G27/SUMIFS($G$7:$G$286,$A$7:$A$286,A27,$B$7:$B$286,B27))</x:f>
        <x:v>0.0012402817880770207</x:v>
      </x:c>
      <x:c r="L27" s="1"/>
      <x:c r="M27" s="1"/>
      <x:c r="N27" s="1"/>
      <x:c r="O27" s="1"/>
      <x:c r="P27" s="1"/>
      <x:c r="Q27" s="1"/>
    </x:row>
    <x:row r="28">
      <x:c r="A28" s="151" t="n">
        <x:v>45870</x:v>
      </x:c>
      <x:c r="B28" s="152" t="str">
        <x:v>平日</x:v>
      </x:c>
      <x:c r="C28" s="152" t="str">
        <x:v>12~14歲</x:v>
      </x:c>
      <x:c r="D28" s="40" t="n">
        <x:v>5255</x:v>
      </x:c>
      <x:c r="E28" s="40" t="n">
        <x:v>1486</x:v>
      </x:c>
      <x:c r="F28" s="153" t="n">
        <x:v>0</x:v>
      </x:c>
      <x:c r="G28" s="154" t="n">
        <x:f>SUM(D28:F28)</x:f>
        <x:v>6741</x:v>
      </x:c>
      <x:c r="H28" s="155" t="n">
        <x:f>IF(SUMIFS($D$7:$D$286,$A$7:$A$286,A28,$B$7:$B$286,B28)=0,"",D28/SUMIFS($D$7:$D$286,$A$7:$A$286,A28,$B$7:$B$286,B28))</x:f>
        <x:v>0.033484774145039094</x:v>
      </x:c>
      <x:c r="I28" s="155" t="n">
        <x:f>IF(SUMIFS($E$7:$E$286,$A$7:$A$286,A28,$B$7:$B$286,B28)=0,"",E28/SUMIFS($E$7:$E$286,$A$7:$A$286,A28,$B$7:$B$286,B28))</x:f>
        <x:v>0.013074770795572527</x:v>
      </x:c>
      <x:c r="J28" s="155" t="n">
        <x:f>IF(SUMIFS($F$7:$F$286,$A$7:$A$286,A28,$B$7:$B$286,B28)=0,"",F28/SUMIFS($F$7:$F$286,$A$7:$A$286,A28,$B$7:$B$286,B28))</x:f>
        <x:v>0</x:v>
      </x:c>
      <x:c r="K28" s="155" t="n">
        <x:f>IF(SUMIFS($G$7:$G$286,$A$7:$A$286,A28,$B$7:$B$286,B28)=0,"",G28/SUMIFS($G$7:$G$286,$A$7:$A$286,A28,$B$7:$B$286,B28))</x:f>
        <x:v>0.01662174857540198</x:v>
      </x:c>
      <x:c r="L28" s="1"/>
      <x:c r="M28" s="1"/>
      <x:c r="N28" s="1"/>
      <x:c r="O28" s="1"/>
      <x:c r="P28" s="1"/>
      <x:c r="Q28" s="1"/>
    </x:row>
    <x:row r="29">
      <x:c r="A29" s="151" t="n">
        <x:v>45870</x:v>
      </x:c>
      <x:c r="B29" s="152" t="str">
        <x:v>平日</x:v>
      </x:c>
      <x:c r="C29" s="152" t="str">
        <x:v>15~17歲</x:v>
      </x:c>
      <x:c r="D29" s="40" t="n">
        <x:v>11219</x:v>
      </x:c>
      <x:c r="E29" s="40" t="n">
        <x:v>3638</x:v>
      </x:c>
      <x:c r="F29" s="153" t="n">
        <x:v>0</x:v>
      </x:c>
      <x:c r="G29" s="154" t="n">
        <x:f>SUM(D29:F29)</x:f>
        <x:v>14857</x:v>
      </x:c>
      <x:c r="H29" s="155" t="n">
        <x:f>IF(SUMIFS($D$7:$D$286,$A$7:$A$286,A29,$B$7:$B$286,B29)=0,"",D29/SUMIFS($D$7:$D$286,$A$7:$A$286,A29,$B$7:$B$286,B29))</x:f>
        <x:v>0.07148728470660201</x:v>
      </x:c>
      <x:c r="I29" s="155" t="n">
        <x:f>IF(SUMIFS($E$7:$E$286,$A$7:$A$286,A29,$B$7:$B$286,B29)=0,"",E29/SUMIFS($E$7:$E$286,$A$7:$A$286,A29,$B$7:$B$286,B29))</x:f>
        <x:v>0.03200943213613247</x:v>
      </x:c>
      <x:c r="J29" s="155" t="n">
        <x:f>IF(SUMIFS($F$7:$F$286,$A$7:$A$286,A29,$B$7:$B$286,B29)=0,"",F29/SUMIFS($F$7:$F$286,$A$7:$A$286,A29,$B$7:$B$286,B29))</x:f>
        <x:v>0</x:v>
      </x:c>
      <x:c r="K29" s="155" t="n">
        <x:f>IF(SUMIFS($G$7:$G$286,$A$7:$A$286,A29,$B$7:$B$286,B29)=0,"",G29/SUMIFS($G$7:$G$286,$A$7:$A$286,A29,$B$7:$B$286,B29))</x:f>
        <x:v>0.036633929474076135</x:v>
      </x:c>
      <x:c r="L29" s="1"/>
      <x:c r="M29" s="1"/>
      <x:c r="N29" s="1"/>
      <x:c r="O29" s="1"/>
      <x:c r="P29" s="1"/>
      <x:c r="Q29" s="1"/>
    </x:row>
    <x:row r="30">
      <x:c r="A30" s="151" t="n">
        <x:v>45870</x:v>
      </x:c>
      <x:c r="B30" s="152" t="str">
        <x:v>平日</x:v>
      </x:c>
      <x:c r="C30" s="152" t="str">
        <x:v>18~24歲</x:v>
      </x:c>
      <x:c r="D30" s="40" t="n">
        <x:v>19733</x:v>
      </x:c>
      <x:c r="E30" s="40" t="n">
        <x:v>13840</x:v>
      </x:c>
      <x:c r="F30" s="153" t="n">
        <x:v>0</x:v>
      </x:c>
      <x:c r="G30" s="154" t="n">
        <x:f>SUM(D30:F30)</x:f>
        <x:v>33573</x:v>
      </x:c>
      <x:c r="H30" s="155" t="n">
        <x:f>IF(SUMIFS($D$7:$D$286,$A$7:$A$286,A30,$B$7:$B$286,B30)=0,"",D30/SUMIFS($D$7:$D$286,$A$7:$A$286,A30,$B$7:$B$286,B30))</x:f>
        <x:v>0.12573835360686136</x:v>
      </x:c>
      <x:c r="I30" s="155" t="n">
        <x:f>IF(SUMIFS($E$7:$E$286,$A$7:$A$286,A30,$B$7:$B$286,B30)=0,"",E30/SUMIFS($E$7:$E$286,$A$7:$A$286,A30,$B$7:$B$286,B30))</x:f>
        <x:v>0.12177310081475355</x:v>
      </x:c>
      <x:c r="J30" s="155" t="n">
        <x:f>IF(SUMIFS($F$7:$F$286,$A$7:$A$286,A30,$B$7:$B$286,B30)=0,"",F30/SUMIFS($F$7:$F$286,$A$7:$A$286,A30,$B$7:$B$286,B30))</x:f>
        <x:v>0</x:v>
      </x:c>
      <x:c r="K30" s="155" t="n">
        <x:f>IF(SUMIFS($G$7:$G$286,$A$7:$A$286,A30,$B$7:$B$286,B30)=0,"",G30/SUMIFS($G$7:$G$286,$A$7:$A$286,A30,$B$7:$B$286,B30))</x:f>
        <x:v>0.08278326137397578</x:v>
      </x:c>
      <x:c r="L30" s="1"/>
      <x:c r="M30" s="1"/>
      <x:c r="N30" s="1"/>
      <x:c r="O30" s="1"/>
      <x:c r="P30" s="1"/>
      <x:c r="Q30" s="1"/>
    </x:row>
    <x:row r="31">
      <x:c r="A31" s="151" t="n">
        <x:v>45870</x:v>
      </x:c>
      <x:c r="B31" s="152" t="str">
        <x:v>平日</x:v>
      </x:c>
      <x:c r="C31" s="152" t="str">
        <x:v>25~34歲</x:v>
      </x:c>
      <x:c r="D31" s="40" t="n">
        <x:v>33142</x:v>
      </x:c>
      <x:c r="E31" s="40" t="n">
        <x:v>30274</x:v>
      </x:c>
      <x:c r="F31" s="153" t="n">
        <x:v>0</x:v>
      </x:c>
      <x:c r="G31" s="154" t="n">
        <x:f>SUM(D31:F31)</x:f>
        <x:v>63416</x:v>
      </x:c>
      <x:c r="H31" s="155" t="n">
        <x:f>IF(SUMIFS($D$7:$D$286,$A$7:$A$286,A31,$B$7:$B$286,B31)=0,"",D31/SUMIFS($D$7:$D$286,$A$7:$A$286,A31,$B$7:$B$286,B31))</x:f>
        <x:v>0.2111802825337556</x:v>
      </x:c>
      <x:c r="I31" s="155" t="n">
        <x:f>IF(SUMIFS($E$7:$E$286,$A$7:$A$286,A31,$B$7:$B$286,B31)=0,"",E31/SUMIFS($E$7:$E$286,$A$7:$A$286,A31,$B$7:$B$286,B31))</x:f>
        <x:v>0.2663698593978215</x:v>
      </x:c>
      <x:c r="J31" s="155" t="n">
        <x:f>IF(SUMIFS($F$7:$F$286,$A$7:$A$286,A31,$B$7:$B$286,B31)=0,"",F31/SUMIFS($F$7:$F$286,$A$7:$A$286,A31,$B$7:$B$286,B31))</x:f>
        <x:v>0</x:v>
      </x:c>
      <x:c r="K31" s="155" t="n">
        <x:f>IF(SUMIFS($G$7:$G$286,$A$7:$A$286,A31,$B$7:$B$286,B31)=0,"",G31/SUMIFS($G$7:$G$286,$A$7:$A$286,A31,$B$7:$B$286,B31))</x:f>
        <x:v>0.15636920451827505</x:v>
      </x:c>
      <x:c r="L31" s="1"/>
      <x:c r="M31" s="1"/>
      <x:c r="N31" s="1"/>
      <x:c r="O31" s="1"/>
      <x:c r="P31" s="1"/>
      <x:c r="Q31" s="1"/>
    </x:row>
    <x:row r="32">
      <x:c r="A32" s="151" t="n">
        <x:v>45870</x:v>
      </x:c>
      <x:c r="B32" s="152" t="str">
        <x:v>平日</x:v>
      </x:c>
      <x:c r="C32" s="152" t="str">
        <x:v>35~44歲</x:v>
      </x:c>
      <x:c r="D32" s="40" t="n">
        <x:v>28459</x:v>
      </x:c>
      <x:c r="E32" s="40" t="n">
        <x:v>26525</x:v>
      </x:c>
      <x:c r="F32" s="153" t="n">
        <x:v>0</x:v>
      </x:c>
      <x:c r="G32" s="154" t="n">
        <x:f>SUM(D32:F32)</x:f>
        <x:v>54984</x:v>
      </x:c>
      <x:c r="H32" s="155" t="n">
        <x:f>IF(SUMIFS($D$7:$D$286,$A$7:$A$286,A32,$B$7:$B$286,B32)=0,"",D32/SUMIFS($D$7:$D$286,$A$7:$A$286,A32,$B$7:$B$286,B32))</x:f>
        <x:v>0.18134028304351427</x:v>
      </x:c>
      <x:c r="I32" s="155" t="n">
        <x:f>IF(SUMIFS($E$7:$E$286,$A$7:$A$286,A32,$B$7:$B$286,B32)=0,"",E32/SUMIFS($E$7:$E$286,$A$7:$A$286,A32,$B$7:$B$286,B32))</x:f>
        <x:v>0.23338377883752442</x:v>
      </x:c>
      <x:c r="J32" s="155" t="n">
        <x:f>IF(SUMIFS($F$7:$F$286,$A$7:$A$286,A32,$B$7:$B$286,B32)=0,"",F32/SUMIFS($F$7:$F$286,$A$7:$A$286,A32,$B$7:$B$286,B32))</x:f>
        <x:v>0</x:v>
      </x:c>
      <x:c r="K32" s="155" t="n">
        <x:f>IF(SUMIFS($G$7:$G$286,$A$7:$A$286,A32,$B$7:$B$286,B32)=0,"",G32/SUMIFS($G$7:$G$286,$A$7:$A$286,A32,$B$7:$B$286,B32))</x:f>
        <x:v>0.1355778406274889</x:v>
      </x:c>
      <x:c r="L32" s="1"/>
      <x:c r="M32" s="1"/>
      <x:c r="N32" s="1"/>
      <x:c r="O32" s="1"/>
      <x:c r="P32" s="1"/>
      <x:c r="Q32" s="1"/>
    </x:row>
    <x:row r="33">
      <x:c r="A33" s="151" t="n">
        <x:v>45870</x:v>
      </x:c>
      <x:c r="B33" s="152" t="str">
        <x:v>平日</x:v>
      </x:c>
      <x:c r="C33" s="152" t="str">
        <x:v>45~54歲</x:v>
      </x:c>
      <x:c r="D33" s="40" t="n">
        <x:v>23137</x:v>
      </x:c>
      <x:c r="E33" s="40" t="n">
        <x:v>20675</x:v>
      </x:c>
      <x:c r="F33" s="153" t="n">
        <x:v>0</x:v>
      </x:c>
      <x:c r="G33" s="154" t="n">
        <x:f>SUM(D33:F33)</x:f>
        <x:v>43812</x:v>
      </x:c>
      <x:c r="H33" s="155" t="n">
        <x:f>IF(SUMIFS($D$7:$D$286,$A$7:$A$286,A33,$B$7:$B$286,B33)=0,"",D33/SUMIFS($D$7:$D$286,$A$7:$A$286,A33,$B$7:$B$286,B33))</x:f>
        <x:v>0.14742858599310552</x:v>
      </x:c>
      <x:c r="I33" s="155" t="n">
        <x:f>IF(SUMIFS($E$7:$E$286,$A$7:$A$286,A33,$B$7:$B$286,B33)=0,"",E33/SUMIFS($E$7:$E$286,$A$7:$A$286,A33,$B$7:$B$286,B33))</x:f>
        <x:v>0.18191176729371603</x:v>
      </x:c>
      <x:c r="J33" s="155" t="n">
        <x:f>IF(SUMIFS($F$7:$F$286,$A$7:$A$286,A33,$B$7:$B$286,B33)=0,"",F33/SUMIFS($F$7:$F$286,$A$7:$A$286,A33,$B$7:$B$286,B33))</x:f>
        <x:v>0</x:v>
      </x:c>
      <x:c r="K33" s="155" t="n">
        <x:f>IF(SUMIFS($G$7:$G$286,$A$7:$A$286,A33,$B$7:$B$286,B33)=0,"",G33/SUMIFS($G$7:$G$286,$A$7:$A$286,A33,$B$7:$B$286,B33))</x:f>
        <x:v>0.10803026977978217</x:v>
      </x:c>
      <x:c r="L33" s="1"/>
      <x:c r="M33" s="1"/>
      <x:c r="N33" s="1"/>
      <x:c r="O33" s="1"/>
      <x:c r="P33" s="1"/>
      <x:c r="Q33" s="1"/>
    </x:row>
    <x:row r="34">
      <x:c r="A34" s="151" t="n">
        <x:v>45870</x:v>
      </x:c>
      <x:c r="B34" s="152" t="str">
        <x:v>平日</x:v>
      </x:c>
      <x:c r="C34" s="152" t="str">
        <x:v>55~64歲</x:v>
      </x:c>
      <x:c r="D34" s="40" t="n">
        <x:v>13696</x:v>
      </x:c>
      <x:c r="E34" s="40" t="n">
        <x:v>9793</x:v>
      </x:c>
      <x:c r="F34" s="153" t="n">
        <x:v>0</x:v>
      </x:c>
      <x:c r="G34" s="154" t="n">
        <x:f>SUM(D34:F34)</x:f>
        <x:v>23489</x:v>
      </x:c>
      <x:c r="H34" s="155" t="n">
        <x:f>IF(SUMIFS($D$7:$D$286,$A$7:$A$286,A34,$B$7:$B$286,B34)=0,"",D34/SUMIFS($D$7:$D$286,$A$7:$A$286,A34,$B$7:$B$286,B34))</x:f>
        <x:v>0.08727068823795536</x:v>
      </x:c>
      <x:c r="I34" s="155" t="n">
        <x:f>IF(SUMIFS($E$7:$E$286,$A$7:$A$286,A34,$B$7:$B$286,B34)=0,"",E34/SUMIFS($E$7:$E$286,$A$7:$A$286,A34,$B$7:$B$286,B34))</x:f>
        <x:v>0.08616502718778046</x:v>
      </x:c>
      <x:c r="J34" s="155" t="n">
        <x:f>IF(SUMIFS($F$7:$F$286,$A$7:$A$286,A34,$B$7:$B$286,B34)=0,"",F34/SUMIFS($F$7:$F$286,$A$7:$A$286,A34,$B$7:$B$286,B34))</x:f>
        <x:v>0</x:v>
      </x:c>
      <x:c r="K34" s="155" t="n">
        <x:f>IF(SUMIFS($G$7:$G$286,$A$7:$A$286,A34,$B$7:$B$286,B34)=0,"",G34/SUMIFS($G$7:$G$286,$A$7:$A$286,A34,$B$7:$B$286,B34))</x:f>
        <x:v>0.05791844715733825</x:v>
      </x:c>
      <x:c r="L34" s="1"/>
      <x:c r="M34" s="1"/>
      <x:c r="N34" s="1"/>
      <x:c r="O34" s="1"/>
      <x:c r="P34" s="1"/>
      <x:c r="Q34" s="1"/>
    </x:row>
    <x:row r="35">
      <x:c r="A35" s="151" t="n">
        <x:v>45870</x:v>
      </x:c>
      <x:c r="B35" s="152" t="str">
        <x:v>平日</x:v>
      </x:c>
      <x:c r="C35" s="152" t="str">
        <x:v>65~100歲</x:v>
      </x:c>
      <x:c r="D35" s="40" t="n">
        <x:v>21908</x:v>
      </x:c>
      <x:c r="E35" s="40" t="n">
        <x:v>7308</x:v>
      </x:c>
      <x:c r="F35" s="153" t="n">
        <x:v>0</x:v>
      </x:c>
      <x:c r="G35" s="154" t="n">
        <x:f>SUM(D35:F35)</x:f>
        <x:v>29216</x:v>
      </x:c>
      <x:c r="H35" s="155" t="n">
        <x:f>IF(SUMIFS($D$7:$D$286,$A$7:$A$286,A35,$B$7:$B$286,B35)=0,"",D35/SUMIFS($D$7:$D$286,$A$7:$A$286,A35,$B$7:$B$286,B35))</x:f>
        <x:v>0.13959741807222006</x:v>
      </x:c>
      <x:c r="I35" s="155" t="n">
        <x:f>IF(SUMIFS($E$7:$E$286,$A$7:$A$286,A35,$B$7:$B$286,B35)=0,"",E35/SUMIFS($E$7:$E$286,$A$7:$A$286,A35,$B$7:$B$286,B35))</x:f>
        <x:v>0.0643004205747268</x:v>
      </x:c>
      <x:c r="J35" s="155" t="n">
        <x:f>IF(SUMIFS($F$7:$F$286,$A$7:$A$286,A35,$B$7:$B$286,B35)=0,"",F35/SUMIFS($F$7:$F$286,$A$7:$A$286,A35,$B$7:$B$286,B35))</x:f>
        <x:v>0</x:v>
      </x:c>
      <x:c r="K35" s="155" t="n">
        <x:f>IF(SUMIFS($G$7:$G$286,$A$7:$A$286,A35,$B$7:$B$286,B35)=0,"",G35/SUMIFS($G$7:$G$286,$A$7:$A$286,A35,$B$7:$B$286,B35))</x:f>
        <x:v>0.07203990600488716</x:v>
      </x:c>
      <x:c r="L35" s="1"/>
      <x:c r="M35" s="1"/>
      <x:c r="N35" s="1"/>
      <x:c r="O35" s="1"/>
      <x:c r="P35" s="1"/>
      <x:c r="Q35" s="1"/>
    </x:row>
    <x:row r="36">
      <x:c r="A36" s="151" t="n">
        <x:v>45870</x:v>
      </x:c>
      <x:c r="B36" s="152" t="str">
        <x:v>平日</x:v>
      </x:c>
      <x:c r="C36" s="152" t="str">
        <x:v>未投保或資料有誤</x:v>
      </x:c>
      <x:c r="D36" s="40" t="n">
        <x:v>0</x:v>
      </x:c>
      <x:c r="E36" s="40" t="n">
        <x:v>0</x:v>
      </x:c>
      <x:c r="F36" s="153" t="n">
        <x:v>134962</x:v>
      </x:c>
      <x:c r="G36" s="154" t="n">
        <x:f>SUM(D36:F36)</x:f>
        <x:v>134962</x:v>
      </x:c>
      <x:c r="H36" s="155" t="n">
        <x:f>IF(SUMIFS($D$7:$D$286,$A$7:$A$286,A36,$B$7:$B$286,B36)=0,"",D36/SUMIFS($D$7:$D$286,$A$7:$A$286,A36,$B$7:$B$286,B36))</x:f>
        <x:v>0</x:v>
      </x:c>
      <x:c r="I36" s="155" t="n">
        <x:f>IF(SUMIFS($E$7:$E$286,$A$7:$A$286,A36,$B$7:$B$286,B36)=0,"",E36/SUMIFS($E$7:$E$286,$A$7:$A$286,A36,$B$7:$B$286,B36))</x:f>
        <x:v>0</x:v>
      </x:c>
      <x:c r="J36" s="155" t="n">
        <x:f>IF(SUMIFS($F$7:$F$286,$A$7:$A$286,A36,$B$7:$B$286,B36)=0,"",F36/SUMIFS($F$7:$F$286,$A$7:$A$286,A36,$B$7:$B$286,B36))</x:f>
        <x:v>1</x:v>
      </x:c>
      <x:c r="K36" s="155" t="n">
        <x:f>IF(SUMIFS($G$7:$G$286,$A$7:$A$286,A36,$B$7:$B$286,B36)=0,"",G36/SUMIFS($G$7:$G$286,$A$7:$A$286,A36,$B$7:$B$286,B36))</x:f>
        <x:v>0.33278511070069755</x:v>
      </x:c>
      <x:c r="L36" s="1"/>
      <x:c r="M36" s="1"/>
      <x:c r="N36" s="1"/>
      <x:c r="O36" s="1"/>
      <x:c r="P36" s="1"/>
      <x:c r="Q36" s="1"/>
    </x:row>
    <x:row r="37">
      <x:c r="A37" s="151" t="n">
        <x:v>45870</x:v>
      </x:c>
      <x:c r="B37" s="152" t="str">
        <x:v>假日</x:v>
      </x:c>
      <x:c r="C37" s="152" t="str">
        <x:v>08~11歲</x:v>
      </x:c>
      <x:c r="D37" s="40" t="n">
        <x:v>139</x:v>
      </x:c>
      <x:c r="E37" s="40" t="n">
        <x:v>74</x:v>
      </x:c>
      <x:c r="F37" s="153" t="n">
        <x:v>0</x:v>
      </x:c>
      <x:c r="G37" s="154" t="n">
        <x:f>SUM(D37:F37)</x:f>
        <x:v>213</x:v>
      </x:c>
      <x:c r="H37" s="155" t="n">
        <x:f>IF(SUMIFS($D$7:$D$286,$A$7:$A$286,A37,$B$7:$B$286,B37)=0,"",D37/SUMIFS($D$7:$D$286,$A$7:$A$286,A37,$B$7:$B$286,B37))</x:f>
        <x:v>0.0018512599222204463</x:v>
      </x:c>
      <x:c r="I37" s="155" t="n">
        <x:f>IF(SUMIFS($E$7:$E$286,$A$7:$A$286,A37,$B$7:$B$286,B37)=0,"",E37/SUMIFS($E$7:$E$286,$A$7:$A$286,A37,$B$7:$B$286,B37))</x:f>
        <x:v>0.0014663918833227648</x:v>
      </x:c>
      <x:c r="J37" s="155" t="n">
        <x:f>IF(SUMIFS($F$7:$F$286,$A$7:$A$286,A37,$B$7:$B$286,B37)=0,"",F37/SUMIFS($F$7:$F$286,$A$7:$A$286,A37,$B$7:$B$286,B37))</x:f>
        <x:v>0</x:v>
      </x:c>
      <x:c r="K37" s="155" t="n">
        <x:f>IF(SUMIFS($G$7:$G$286,$A$7:$A$286,A37,$B$7:$B$286,B37)=0,"",G37/SUMIFS($G$7:$G$286,$A$7:$A$286,A37,$B$7:$B$286,B37))</x:f>
        <x:v>0.0011089187261491365</x:v>
      </x:c>
      <x:c r="L37" s="1"/>
      <x:c r="M37" s="1"/>
      <x:c r="N37" s="1"/>
      <x:c r="O37" s="1"/>
      <x:c r="P37" s="1"/>
      <x:c r="Q37" s="1"/>
    </x:row>
    <x:row r="38">
      <x:c r="A38" s="151" t="n">
        <x:v>45870</x:v>
      </x:c>
      <x:c r="B38" s="152" t="str">
        <x:v>假日</x:v>
      </x:c>
      <x:c r="C38" s="152" t="str">
        <x:v>12~14歲</x:v>
      </x:c>
      <x:c r="D38" s="40" t="n">
        <x:v>1688</x:v>
      </x:c>
      <x:c r="E38" s="40" t="n">
        <x:v>560</x:v>
      </x:c>
      <x:c r="F38" s="153" t="n">
        <x:v>0</x:v>
      </x:c>
      <x:c r="G38" s="154" t="n">
        <x:f>SUM(D38:F38)</x:f>
        <x:v>2248</x:v>
      </x:c>
      <x:c r="H38" s="155" t="n">
        <x:f>IF(SUMIFS($D$7:$D$286,$A$7:$A$286,A38,$B$7:$B$286,B38)=0,"",D38/SUMIFS($D$7:$D$286,$A$7:$A$286,A38,$B$7:$B$286,B38))</x:f>
        <x:v>0.022481487400777794</x:v>
      </x:c>
      <x:c r="I38" s="155" t="n">
        <x:f>IF(SUMIFS($E$7:$E$286,$A$7:$A$286,A38,$B$7:$B$286,B38)=0,"",E38/SUMIFS($E$7:$E$286,$A$7:$A$286,A38,$B$7:$B$286,B38))</x:f>
        <x:v>0.01109701965757768</x:v>
      </x:c>
      <x:c r="J38" s="155" t="n">
        <x:f>IF(SUMIFS($F$7:$F$286,$A$7:$A$286,A38,$B$7:$B$286,B38)=0,"",F38/SUMIFS($F$7:$F$286,$A$7:$A$286,A38,$B$7:$B$286,B38))</x:f>
        <x:v>0</x:v>
      </x:c>
      <x:c r="K38" s="155" t="n">
        <x:f>IF(SUMIFS($G$7:$G$286,$A$7:$A$286,A38,$B$7:$B$286,B38)=0,"",G38/SUMIFS($G$7:$G$286,$A$7:$A$286,A38,$B$7:$B$286,B38))</x:f>
        <x:v>0.011703517823395583</x:v>
      </x:c>
      <x:c r="L38" s="1"/>
      <x:c r="M38" s="1"/>
      <x:c r="N38" s="1"/>
      <x:c r="O38" s="1"/>
      <x:c r="P38" s="1"/>
      <x:c r="Q38" s="1"/>
    </x:row>
    <x:row r="39">
      <x:c r="A39" s="151" t="n">
        <x:v>45870</x:v>
      </x:c>
      <x:c r="B39" s="152" t="str">
        <x:v>假日</x:v>
      </x:c>
      <x:c r="C39" s="152" t="str">
        <x:v>15~17歲</x:v>
      </x:c>
      <x:c r="D39" s="40" t="n">
        <x:v>3862</x:v>
      </x:c>
      <x:c r="E39" s="40" t="n">
        <x:v>1556</x:v>
      </x:c>
      <x:c r="F39" s="153" t="n">
        <x:v>0</x:v>
      </x:c>
      <x:c r="G39" s="154" t="n">
        <x:f>SUM(D39:F39)</x:f>
        <x:v>5418</x:v>
      </x:c>
      <x:c r="H39" s="155" t="n">
        <x:f>IF(SUMIFS($D$7:$D$286,$A$7:$A$286,A39,$B$7:$B$286,B39)=0,"",D39/SUMIFS($D$7:$D$286,$A$7:$A$286,A39,$B$7:$B$286,B39))</x:f>
        <x:v>0.05143572532097384</x:v>
      </x:c>
      <x:c r="I39" s="155" t="n">
        <x:f>IF(SUMIFS($E$7:$E$286,$A$7:$A$286,A39,$B$7:$B$286,B39)=0,"",E39/SUMIFS($E$7:$E$286,$A$7:$A$286,A39,$B$7:$B$286,B39))</x:f>
        <x:v>0.030833861762840836</x:v>
      </x:c>
      <x:c r="J39" s="155" t="n">
        <x:f>IF(SUMIFS($F$7:$F$286,$A$7:$A$286,A39,$B$7:$B$286,B39)=0,"",F39/SUMIFS($F$7:$F$286,$A$7:$A$286,A39,$B$7:$B$286,B39))</x:f>
        <x:v>0</x:v>
      </x:c>
      <x:c r="K39" s="155" t="n">
        <x:f>IF(SUMIFS($G$7:$G$286,$A$7:$A$286,A39,$B$7:$B$286,B39)=0,"",G39/SUMIFS($G$7:$G$286,$A$7:$A$286,A39,$B$7:$B$286,B39))</x:f>
        <x:v>0.02820714393556818</x:v>
      </x:c>
      <x:c r="L39" s="1"/>
      <x:c r="M39" s="1"/>
      <x:c r="N39" s="1"/>
      <x:c r="O39" s="1"/>
      <x:c r="P39" s="1"/>
      <x:c r="Q39" s="1"/>
    </x:row>
    <x:row r="40">
      <x:c r="A40" s="151" t="n">
        <x:v>45870</x:v>
      </x:c>
      <x:c r="B40" s="152" t="str">
        <x:v>假日</x:v>
      </x:c>
      <x:c r="C40" s="152" t="str">
        <x:v>18~24歲</x:v>
      </x:c>
      <x:c r="D40" s="40" t="n">
        <x:v>8193</x:v>
      </x:c>
      <x:c r="E40" s="40" t="n">
        <x:v>5810</x:v>
      </x:c>
      <x:c r="F40" s="153" t="n">
        <x:v>0</x:v>
      </x:c>
      <x:c r="G40" s="154" t="n">
        <x:f>SUM(D40:F40)</x:f>
        <x:v>14003</x:v>
      </x:c>
      <x:c r="H40" s="155" t="n">
        <x:f>IF(SUMIFS($D$7:$D$286,$A$7:$A$286,A40,$B$7:$B$286,B40)=0,"",D40/SUMIFS($D$7:$D$286,$A$7:$A$286,A40,$B$7:$B$286,B40))</x:f>
        <x:v>0.10911778807735337</x:v>
      </x:c>
      <x:c r="I40" s="155" t="n">
        <x:f>IF(SUMIFS($E$7:$E$286,$A$7:$A$286,A40,$B$7:$B$286,B40)=0,"",E40/SUMIFS($E$7:$E$286,$A$7:$A$286,A40,$B$7:$B$286,B40))</x:f>
        <x:v>0.11513157894736842</x:v>
      </x:c>
      <x:c r="J40" s="155" t="n">
        <x:f>IF(SUMIFS($F$7:$F$286,$A$7:$A$286,A40,$B$7:$B$286,B40)=0,"",F40/SUMIFS($F$7:$F$286,$A$7:$A$286,A40,$B$7:$B$286,B40))</x:f>
        <x:v>0</x:v>
      </x:c>
      <x:c r="K40" s="155" t="n">
        <x:f>IF(SUMIFS($G$7:$G$286,$A$7:$A$286,A40,$B$7:$B$286,B40)=0,"",G40/SUMIFS($G$7:$G$286,$A$7:$A$286,A40,$B$7:$B$286,B40))</x:f>
        <x:v>0.07290229540970122</x:v>
      </x:c>
      <x:c r="L40" s="1"/>
      <x:c r="M40" s="1"/>
      <x:c r="N40" s="1"/>
      <x:c r="O40" s="1"/>
      <x:c r="P40" s="1"/>
      <x:c r="Q40" s="1"/>
    </x:row>
    <x:row r="41">
      <x:c r="A41" s="151" t="n">
        <x:v>45870</x:v>
      </x:c>
      <x:c r="B41" s="152" t="str">
        <x:v>假日</x:v>
      </x:c>
      <x:c r="C41" s="152" t="str">
        <x:v>25~34歲</x:v>
      </x:c>
      <x:c r="D41" s="40" t="n">
        <x:v>16080</x:v>
      </x:c>
      <x:c r="E41" s="40" t="n">
        <x:v>12536</x:v>
      </x:c>
      <x:c r="F41" s="153" t="n">
        <x:v>0</x:v>
      </x:c>
      <x:c r="G41" s="154" t="n">
        <x:f>SUM(D41:F41)</x:f>
        <x:v>28616</x:v>
      </x:c>
      <x:c r="H41" s="155" t="n">
        <x:f>IF(SUMIFS($D$7:$D$286,$A$7:$A$286,A41,$B$7:$B$286,B41)=0,"",D41/SUMIFS($D$7:$D$286,$A$7:$A$286,A41,$B$7:$B$286,B41))</x:f>
        <x:v>0.21416014064248043</x:v>
      </x:c>
      <x:c r="I41" s="155" t="n">
        <x:f>IF(SUMIFS($E$7:$E$286,$A$7:$A$286,A41,$B$7:$B$286,B41)=0,"",E41/SUMIFS($E$7:$E$286,$A$7:$A$286,A41,$B$7:$B$286,B41))</x:f>
        <x:v>0.2484147114774889</x:v>
      </x:c>
      <x:c r="J41" s="155" t="n">
        <x:f>IF(SUMIFS($F$7:$F$286,$A$7:$A$286,A41,$B$7:$B$286,B41)=0,"",F41/SUMIFS($F$7:$F$286,$A$7:$A$286,A41,$B$7:$B$286,B41))</x:f>
        <x:v>0</x:v>
      </x:c>
      <x:c r="K41" s="155" t="n">
        <x:f>IF(SUMIFS($G$7:$G$286,$A$7:$A$286,A41,$B$7:$B$286,B41)=0,"",G41/SUMIFS($G$7:$G$286,$A$7:$A$286,A41,$B$7:$B$286,B41))</x:f>
        <x:v>0.14898036745297508</x:v>
      </x:c>
      <x:c r="L41" s="1"/>
      <x:c r="M41" s="1"/>
      <x:c r="N41" s="1"/>
      <x:c r="O41" s="1"/>
      <x:c r="P41" s="1"/>
      <x:c r="Q41" s="1"/>
    </x:row>
    <x:row r="42">
      <x:c r="A42" s="151" t="n">
        <x:v>45870</x:v>
      </x:c>
      <x:c r="B42" s="152" t="str">
        <x:v>假日</x:v>
      </x:c>
      <x:c r="C42" s="152" t="str">
        <x:v>35~44歲</x:v>
      </x:c>
      <x:c r="D42" s="40" t="n">
        <x:v>13879</x:v>
      </x:c>
      <x:c r="E42" s="40" t="n">
        <x:v>10836</x:v>
      </x:c>
      <x:c r="F42" s="153" t="n">
        <x:v>0</x:v>
      </x:c>
      <x:c r="G42" s="154" t="n">
        <x:f>SUM(D42:F42)</x:f>
        <x:v>24715</x:v>
      </x:c>
      <x:c r="H42" s="155" t="n">
        <x:f>IF(SUMIFS($D$7:$D$286,$A$7:$A$286,A42,$B$7:$B$286,B42)=0,"",D42/SUMIFS($D$7:$D$286,$A$7:$A$286,A42,$B$7:$B$286,B42))</x:f>
        <x:v>0.1848463054712056</x:v>
      </x:c>
      <x:c r="I42" s="155" t="n">
        <x:f>IF(SUMIFS($E$7:$E$286,$A$7:$A$286,A42,$B$7:$B$286,B42)=0,"",E42/SUMIFS($E$7:$E$286,$A$7:$A$286,A42,$B$7:$B$286,B42))</x:f>
        <x:v>0.21472733037412808</x:v>
      </x:c>
      <x:c r="J42" s="155" t="n">
        <x:f>IF(SUMIFS($F$7:$F$286,$A$7:$A$286,A42,$B$7:$B$286,B42)=0,"",F42/SUMIFS($F$7:$F$286,$A$7:$A$286,A42,$B$7:$B$286,B42))</x:f>
        <x:v>0</x:v>
      </x:c>
      <x:c r="K42" s="155" t="n">
        <x:f>IF(SUMIFS($G$7:$G$286,$A$7:$A$286,A42,$B$7:$B$286,B42)=0,"",G42/SUMIFS($G$7:$G$286,$A$7:$A$286,A42,$B$7:$B$286,B42))</x:f>
        <x:v>0.1286710155717179</x:v>
      </x:c>
      <x:c r="L42" s="1"/>
      <x:c r="M42" s="1"/>
      <x:c r="N42" s="1"/>
      <x:c r="O42" s="1"/>
      <x:c r="P42" s="1"/>
      <x:c r="Q42" s="1"/>
    </x:row>
    <x:row r="43">
      <x:c r="A43" s="151" t="n">
        <x:v>45870</x:v>
      </x:c>
      <x:c r="B43" s="152" t="str">
        <x:v>假日</x:v>
      </x:c>
      <x:c r="C43" s="152" t="str">
        <x:v>45~54歲</x:v>
      </x:c>
      <x:c r="D43" s="40" t="n">
        <x:v>12065</x:v>
      </x:c>
      <x:c r="E43" s="40" t="n">
        <x:v>10259</x:v>
      </x:c>
      <x:c r="F43" s="153" t="n">
        <x:v>0</x:v>
      </x:c>
      <x:c r="G43" s="154" t="n">
        <x:f>SUM(D43:F43)</x:f>
        <x:v>22324</x:v>
      </x:c>
      <x:c r="H43" s="155" t="n">
        <x:f>IF(SUMIFS($D$7:$D$286,$A$7:$A$286,A43,$B$7:$B$286,B43)=0,"",D43/SUMIFS($D$7:$D$286,$A$7:$A$286,A43,$B$7:$B$286,B43))</x:f>
        <x:v>0.16068669756539342</x:v>
      </x:c>
      <x:c r="I43" s="155" t="n">
        <x:f>IF(SUMIFS($E$7:$E$286,$A$7:$A$286,A43,$B$7:$B$286,B43)=0,"",E43/SUMIFS($E$7:$E$286,$A$7:$A$286,A43,$B$7:$B$286,B43))</x:f>
        <x:v>0.2032934369055168</x:v>
      </x:c>
      <x:c r="J43" s="155" t="n">
        <x:f>IF(SUMIFS($F$7:$F$286,$A$7:$A$286,A43,$B$7:$B$286,B43)=0,"",F43/SUMIFS($F$7:$F$286,$A$7:$A$286,A43,$B$7:$B$286,B43))</x:f>
        <x:v>0</x:v>
      </x:c>
      <x:c r="K43" s="155" t="n">
        <x:f>IF(SUMIFS($G$7:$G$286,$A$7:$A$286,A43,$B$7:$B$286,B43)=0,"",G43/SUMIFS($G$7:$G$286,$A$7:$A$286,A43,$B$7:$B$286,B43))</x:f>
        <x:v>0.11622301240635363</x:v>
      </x:c>
      <x:c r="L43" s="1"/>
      <x:c r="M43" s="1"/>
      <x:c r="N43" s="1"/>
      <x:c r="O43" s="1"/>
      <x:c r="P43" s="1"/>
      <x:c r="Q43" s="1"/>
    </x:row>
    <x:row r="44">
      <x:c r="A44" s="151" t="n">
        <x:v>45870</x:v>
      </x:c>
      <x:c r="B44" s="152" t="str">
        <x:v>假日</x:v>
      </x:c>
      <x:c r="C44" s="152" t="str">
        <x:v>55~64歲</x:v>
      </x:c>
      <x:c r="D44" s="40" t="n">
        <x:v>7271</x:v>
      </x:c>
      <x:c r="E44" s="40" t="n">
        <x:v>4886</x:v>
      </x:c>
      <x:c r="F44" s="153" t="n">
        <x:v>0</x:v>
      </x:c>
      <x:c r="G44" s="154" t="n">
        <x:f>SUM(D44:F44)</x:f>
        <x:v>12157</x:v>
      </x:c>
      <x:c r="H44" s="155" t="n">
        <x:f>IF(SUMIFS($D$7:$D$286,$A$7:$A$286,A44,$B$7:$B$286,B44)=0,"",D44/SUMIFS($D$7:$D$286,$A$7:$A$286,A44,$B$7:$B$286,B44))</x:f>
        <x:v>0.09683820787384796</x:v>
      </x:c>
      <x:c r="I44" s="155" t="n">
        <x:f>IF(SUMIFS($E$7:$E$286,$A$7:$A$286,A44,$B$7:$B$286,B44)=0,"",E44/SUMIFS($E$7:$E$286,$A$7:$A$286,A44,$B$7:$B$286,B44))</x:f>
        <x:v>0.09682149651236525</x:v>
      </x:c>
      <x:c r="J44" s="155" t="n">
        <x:f>IF(SUMIFS($F$7:$F$286,$A$7:$A$286,A44,$B$7:$B$286,B44)=0,"",F44/SUMIFS($F$7:$F$286,$A$7:$A$286,A44,$B$7:$B$286,B44))</x:f>
        <x:v>0</x:v>
      </x:c>
      <x:c r="K44" s="155" t="n">
        <x:f>IF(SUMIFS($G$7:$G$286,$A$7:$A$286,A44,$B$7:$B$286,B44)=0,"",G44/SUMIFS($G$7:$G$286,$A$7:$A$286,A44,$B$7:$B$286,B44))</x:f>
        <x:v>0.06329166644974203</x:v>
      </x:c>
      <x:c r="L44" s="1"/>
      <x:c r="M44" s="1"/>
      <x:c r="N44" s="1"/>
      <x:c r="O44" s="1"/>
      <x:c r="P44" s="1"/>
      <x:c r="Q44" s="1"/>
    </x:row>
    <x:row r="45">
      <x:c r="A45" s="151" t="n">
        <x:v>45870</x:v>
      </x:c>
      <x:c r="B45" s="152" t="str">
        <x:v>假日</x:v>
      </x:c>
      <x:c r="C45" s="152" t="str">
        <x:v>65~100歲</x:v>
      </x:c>
      <x:c r="D45" s="40" t="n">
        <x:v>11907</x:v>
      </x:c>
      <x:c r="E45" s="40" t="n">
        <x:v>3947</x:v>
      </x:c>
      <x:c r="F45" s="153" t="n">
        <x:v>0</x:v>
      </x:c>
      <x:c r="G45" s="154" t="n">
        <x:f>SUM(D45:F45)</x:f>
        <x:v>15854</x:v>
      </x:c>
      <x:c r="H45" s="155" t="n">
        <x:f>IF(SUMIFS($D$7:$D$286,$A$7:$A$286,A45,$B$7:$B$286,B45)=0,"",D45/SUMIFS($D$7:$D$286,$A$7:$A$286,A45,$B$7:$B$286,B45))</x:f>
        <x:v>0.15858238772574718</x:v>
      </x:c>
      <x:c r="I45" s="155" t="n">
        <x:f>IF(SUMIFS($E$7:$E$286,$A$7:$A$286,A45,$B$7:$B$286,B45)=0,"",E45/SUMIFS($E$7:$E$286,$A$7:$A$286,A45,$B$7:$B$286,B45))</x:f>
        <x:v>0.07821417247939125</x:v>
      </x:c>
      <x:c r="J45" s="155" t="n">
        <x:f>IF(SUMIFS($F$7:$F$286,$A$7:$A$286,A45,$B$7:$B$286,B45)=0,"",F45/SUMIFS($F$7:$F$286,$A$7:$A$286,A45,$B$7:$B$286,B45))</x:f>
        <x:v>0</x:v>
      </x:c>
      <x:c r="K45" s="155" t="n">
        <x:f>IF(SUMIFS($G$7:$G$286,$A$7:$A$286,A45,$B$7:$B$286,B45)=0,"",G45/SUMIFS($G$7:$G$286,$A$7:$A$286,A45,$B$7:$B$286,B45))</x:f>
        <x:v>0.08253895532567329</x:v>
      </x:c>
      <x:c r="L45" s="1"/>
      <x:c r="M45" s="1"/>
      <x:c r="N45" s="1"/>
      <x:c r="O45" s="1"/>
      <x:c r="P45" s="1"/>
      <x:c r="Q45" s="1"/>
    </x:row>
    <x:row r="46">
      <x:c r="A46" s="151" t="n">
        <x:v>45870</x:v>
      </x:c>
      <x:c r="B46" s="152" t="str">
        <x:v>假日</x:v>
      </x:c>
      <x:c r="C46" s="152" t="str">
        <x:v>未投保或資料有誤</x:v>
      </x:c>
      <x:c r="D46" s="40" t="n">
        <x:v>0</x:v>
      </x:c>
      <x:c r="E46" s="40" t="n">
        <x:v>0</x:v>
      </x:c>
      <x:c r="F46" s="153" t="n">
        <x:v>66531</x:v>
      </x:c>
      <x:c r="G46" s="154" t="n">
        <x:f>SUM(D46:F46)</x:f>
        <x:v>66531</x:v>
      </x:c>
      <x:c r="H46" s="155" t="n">
        <x:f>IF(SUMIFS($D$7:$D$286,$A$7:$A$286,A46,$B$7:$B$286,B46)=0,"",D46/SUMIFS($D$7:$D$286,$A$7:$A$286,A46,$B$7:$B$286,B46))</x:f>
        <x:v>0</x:v>
      </x:c>
      <x:c r="I46" s="155" t="n">
        <x:f>IF(SUMIFS($E$7:$E$286,$A$7:$A$286,A46,$B$7:$B$286,B46)=0,"",E46/SUMIFS($E$7:$E$286,$A$7:$A$286,A46,$B$7:$B$286,B46))</x:f>
        <x:v>0</x:v>
      </x:c>
      <x:c r="J46" s="155" t="n">
        <x:f>IF(SUMIFS($F$7:$F$286,$A$7:$A$286,A46,$B$7:$B$286,B46)=0,"",F46/SUMIFS($F$7:$F$286,$A$7:$A$286,A46,$B$7:$B$286,B46))</x:f>
        <x:v>1</x:v>
      </x:c>
      <x:c r="K46" s="155" t="n">
        <x:f>IF(SUMIFS($G$7:$G$286,$A$7:$A$286,A46,$B$7:$B$286,B46)=0,"",G46/SUMIFS($G$7:$G$286,$A$7:$A$286,A46,$B$7:$B$286,B46))</x:f>
        <x:v>0.34637310689872397</x:v>
      </x:c>
      <x:c r="L46" s="1"/>
      <x:c r="M46" s="1"/>
      <x:c r="N46" s="1"/>
      <x:c r="O46" s="1"/>
      <x:c r="P46" s="1"/>
      <x:c r="Q46" s="1"/>
    </x:row>
    <x:row r="47">
      <x:c r="A47" s="151" t="n">
        <x:v>45901</x:v>
      </x:c>
      <x:c r="B47" s="152" t="str">
        <x:v>平日</x:v>
      </x:c>
      <x:c r="C47" s="152" t="str">
        <x:v>08~11歲</x:v>
      </x:c>
      <x:c r="D47" s="40" t="n">
        <x:v>282</x:v>
      </x:c>
      <x:c r="E47" s="40" t="n">
        <x:v>82</x:v>
      </x:c>
      <x:c r="F47" s="153" t="n">
        <x:v>0</x:v>
      </x:c>
      <x:c r="G47" s="154" t="n">
        <x:f>SUM(D47:F47)</x:f>
        <x:v>364</x:v>
      </x:c>
      <x:c r="H47" s="155" t="n">
        <x:f>IF(SUMIFS($D$7:$D$286,$A$7:$A$286,A47,$B$7:$B$286,B47)=0,"",D47/SUMIFS($D$7:$D$286,$A$7:$A$286,A47,$B$7:$B$286,B47))</x:f>
        <x:v>0.0015964764293276118</x:v>
      </x:c>
      <x:c r="I47" s="155" t="n">
        <x:f>IF(SUMIFS($E$7:$E$286,$A$7:$A$286,A47,$B$7:$B$286,B47)=0,"",E47/SUMIFS($E$7:$E$286,$A$7:$A$286,A47,$B$7:$B$286,B47))</x:f>
        <x:v>0.0006321697298630812</x:v>
      </x:c>
      <x:c r="J47" s="155" t="n">
        <x:f>IF(SUMIFS($F$7:$F$286,$A$7:$A$286,A47,$B$7:$B$286,B47)=0,"",F47/SUMIFS($F$7:$F$286,$A$7:$A$286,A47,$B$7:$B$286,B47))</x:f>
        <x:v>0</x:v>
      </x:c>
      <x:c r="K47" s="155" t="n">
        <x:f>IF(SUMIFS($G$7:$G$286,$A$7:$A$286,A47,$B$7:$B$286,B47)=0,"",G47/SUMIFS($G$7:$G$286,$A$7:$A$286,A47,$B$7:$B$286,B47))</x:f>
        <x:v>0.0007573172660014481</x:v>
      </x:c>
      <x:c r="L47" s="1"/>
      <x:c r="M47" s="1"/>
      <x:c r="N47" s="1"/>
      <x:c r="O47" s="1"/>
      <x:c r="P47" s="1"/>
      <x:c r="Q47" s="1"/>
    </x:row>
    <x:row r="48">
      <x:c r="A48" s="151" t="n">
        <x:v>45901</x:v>
      </x:c>
      <x:c r="B48" s="152" t="str">
        <x:v>平日</x:v>
      </x:c>
      <x:c r="C48" s="152" t="str">
        <x:v>12~14歲</x:v>
      </x:c>
      <x:c r="D48" s="40" t="n">
        <x:v>5431</x:v>
      </x:c>
      <x:c r="E48" s="40" t="n">
        <x:v>1373</x:v>
      </x:c>
      <x:c r="F48" s="153" t="n">
        <x:v>0</x:v>
      </x:c>
      <x:c r="G48" s="154" t="n">
        <x:f>SUM(D48:F48)</x:f>
        <x:v>6804</x:v>
      </x:c>
      <x:c r="H48" s="155" t="n">
        <x:f>IF(SUMIFS($D$7:$D$286,$A$7:$A$286,A48,$B$7:$B$286,B48)=0,"",D48/SUMIFS($D$7:$D$286,$A$7:$A$286,A48,$B$7:$B$286,B48))</x:f>
        <x:v>0.03074632442439099</x:v>
      </x:c>
      <x:c r="I48" s="155" t="n">
        <x:f>IF(SUMIFS($E$7:$E$286,$A$7:$A$286,A48,$B$7:$B$286,B48)=0,"",E48/SUMIFS($E$7:$E$286,$A$7:$A$286,A48,$B$7:$B$286,B48))</x:f>
        <x:v>0.010584988281731838</x:v>
      </x:c>
      <x:c r="J48" s="155" t="n">
        <x:f>IF(SUMIFS($F$7:$F$286,$A$7:$A$286,A48,$B$7:$B$286,B48)=0,"",F48/SUMIFS($F$7:$F$286,$A$7:$A$286,A48,$B$7:$B$286,B48))</x:f>
        <x:v>0</x:v>
      </x:c>
      <x:c r="K48" s="155" t="n">
        <x:f>IF(SUMIFS($G$7:$G$286,$A$7:$A$286,A48,$B$7:$B$286,B48)=0,"",G48/SUMIFS($G$7:$G$286,$A$7:$A$286,A48,$B$7:$B$286,B48))</x:f>
        <x:v>0.014156007356796299</x:v>
      </x:c>
      <x:c r="L48" s="1"/>
      <x:c r="M48" s="1"/>
      <x:c r="N48" s="1"/>
      <x:c r="O48" s="1"/>
      <x:c r="P48" s="1"/>
      <x:c r="Q48" s="1"/>
    </x:row>
    <x:row r="49">
      <x:c r="A49" s="151" t="n">
        <x:v>45901</x:v>
      </x:c>
      <x:c r="B49" s="152" t="str">
        <x:v>平日</x:v>
      </x:c>
      <x:c r="C49" s="152" t="str">
        <x:v>15~17歲</x:v>
      </x:c>
      <x:c r="D49" s="40" t="n">
        <x:v>12306</x:v>
      </x:c>
      <x:c r="E49" s="40" t="n">
        <x:v>3803</x:v>
      </x:c>
      <x:c r="F49" s="153" t="n">
        <x:v>0</x:v>
      </x:c>
      <x:c r="G49" s="154" t="n">
        <x:f>SUM(D49:F49)</x:f>
        <x:v>16109</x:v>
      </x:c>
      <x:c r="H49" s="155" t="n">
        <x:f>IF(SUMIFS($D$7:$D$286,$A$7:$A$286,A49,$B$7:$B$286,B49)=0,"",D49/SUMIFS($D$7:$D$286,$A$7:$A$286,A49,$B$7:$B$286,B49))</x:f>
        <x:v>0.06966751396916876</x:v>
      </x:c>
      <x:c r="I49" s="155" t="n">
        <x:f>IF(SUMIFS($E$7:$E$286,$A$7:$A$286,A49,$B$7:$B$286,B49)=0,"",E49/SUMIFS($E$7:$E$286,$A$7:$A$286,A49,$B$7:$B$286,B49))</x:f>
        <x:v>0.029318798569137782</x:v>
      </x:c>
      <x:c r="J49" s="155" t="n">
        <x:f>IF(SUMIFS($F$7:$F$286,$A$7:$A$286,A49,$B$7:$B$286,B49)=0,"",F49/SUMIFS($F$7:$F$286,$A$7:$A$286,A49,$B$7:$B$286,B49))</x:f>
        <x:v>0</x:v>
      </x:c>
      <x:c r="K49" s="155" t="n">
        <x:f>IF(SUMIFS($G$7:$G$286,$A$7:$A$286,A49,$B$7:$B$286,B49)=0,"",G49/SUMIFS($G$7:$G$286,$A$7:$A$286,A49,$B$7:$B$286,B49))</x:f>
        <x:v>0.033515450104443206</x:v>
      </x:c>
      <x:c r="L49" s="1"/>
      <x:c r="M49" s="1"/>
      <x:c r="N49" s="1"/>
      <x:c r="O49" s="1"/>
      <x:c r="P49" s="1"/>
      <x:c r="Q49" s="1"/>
    </x:row>
    <x:row r="50">
      <x:c r="A50" s="151" t="n">
        <x:v>45901</x:v>
      </x:c>
      <x:c r="B50" s="152" t="str">
        <x:v>平日</x:v>
      </x:c>
      <x:c r="C50" s="152" t="str">
        <x:v>18~24歲</x:v>
      </x:c>
      <x:c r="D50" s="40" t="n">
        <x:v>22229</x:v>
      </x:c>
      <x:c r="E50" s="40" t="n">
        <x:v>16397</x:v>
      </x:c>
      <x:c r="F50" s="153" t="n">
        <x:v>0</x:v>
      </x:c>
      <x:c r="G50" s="154" t="n">
        <x:f>SUM(D50:F50)</x:f>
        <x:v>38626</x:v>
      </x:c>
      <x:c r="H50" s="155" t="n">
        <x:f>IF(SUMIFS($D$7:$D$286,$A$7:$A$286,A50,$B$7:$B$286,B50)=0,"",D50/SUMIFS($D$7:$D$286,$A$7:$A$286,A50,$B$7:$B$286,B50))</x:f>
        <x:v>0.1258442359841258</x:v>
      </x:c>
      <x:c r="I50" s="155" t="n">
        <x:f>IF(SUMIFS($E$7:$E$286,$A$7:$A$286,A50,$B$7:$B$286,B50)=0,"",E50/SUMIFS($E$7:$E$286,$A$7:$A$286,A50,$B$7:$B$286,B50))</x:f>
        <x:v>0.1264108178117676</x:v>
      </x:c>
      <x:c r="J50" s="155" t="n">
        <x:f>IF(SUMIFS($F$7:$F$286,$A$7:$A$286,A50,$B$7:$B$286,B50)=0,"",F50/SUMIFS($F$7:$F$286,$A$7:$A$286,A50,$B$7:$B$286,B50))</x:f>
        <x:v>0</x:v>
      </x:c>
      <x:c r="K50" s="155" t="n">
        <x:f>IF(SUMIFS($G$7:$G$286,$A$7:$A$286,A50,$B$7:$B$286,B50)=0,"",G50/SUMIFS($G$7:$G$286,$A$7:$A$286,A50,$B$7:$B$286,B50))</x:f>
        <x:v>0.08036301295761519</x:v>
      </x:c>
      <x:c r="L50" s="1"/>
      <x:c r="M50" s="1"/>
      <x:c r="N50" s="1"/>
      <x:c r="O50" s="1"/>
      <x:c r="P50" s="1"/>
      <x:c r="Q50" s="1"/>
    </x:row>
    <x:row r="51">
      <x:c r="A51" s="151" t="n">
        <x:v>45901</x:v>
      </x:c>
      <x:c r="B51" s="152" t="str">
        <x:v>平日</x:v>
      </x:c>
      <x:c r="C51" s="152" t="str">
        <x:v>25~34歲</x:v>
      </x:c>
      <x:c r="D51" s="40" t="n">
        <x:v>37096</x:v>
      </x:c>
      <x:c r="E51" s="40" t="n">
        <x:v>33645</x:v>
      </x:c>
      <x:c r="F51" s="153" t="n">
        <x:v>0</x:v>
      </x:c>
      <x:c r="G51" s="154" t="n">
        <x:f>SUM(D51:F51)</x:f>
        <x:v>70741</x:v>
      </x:c>
      <x:c r="H51" s="155" t="n">
        <x:f>IF(SUMIFS($D$7:$D$286,$A$7:$A$286,A51,$B$7:$B$286,B51)=0,"",D51/SUMIFS($D$7:$D$286,$A$7:$A$286,A51,$B$7:$B$286,B51))</x:f>
        <x:v>0.21001024688772016</x:v>
      </x:c>
      <x:c r="I51" s="155" t="n">
        <x:f>IF(SUMIFS($E$7:$E$286,$A$7:$A$286,A51,$B$7:$B$286,B51)=0,"",E51/SUMIFS($E$7:$E$286,$A$7:$A$286,A51,$B$7:$B$286,B51))</x:f>
        <x:v>0.2593823239176021</x:v>
      </x:c>
      <x:c r="J51" s="155" t="n">
        <x:f>IF(SUMIFS($F$7:$F$286,$A$7:$A$286,A51,$B$7:$B$286,B51)=0,"",F51/SUMIFS($F$7:$F$286,$A$7:$A$286,A51,$B$7:$B$286,B51))</x:f>
        <x:v>0</x:v>
      </x:c>
      <x:c r="K51" s="155" t="n">
        <x:f>IF(SUMIFS($G$7:$G$286,$A$7:$A$286,A51,$B$7:$B$286,B51)=0,"",G51/SUMIFS($G$7:$G$286,$A$7:$A$286,A51,$B$7:$B$286,B51))</x:f>
        <x:v>0.14717961734672647</x:v>
      </x:c>
      <x:c r="L51" s="1"/>
      <x:c r="M51" s="1"/>
      <x:c r="N51" s="1"/>
      <x:c r="O51" s="1"/>
      <x:c r="P51" s="1"/>
      <x:c r="Q51" s="1"/>
    </x:row>
    <x:row r="52">
      <x:c r="A52" s="151" t="n">
        <x:v>45901</x:v>
      </x:c>
      <x:c r="B52" s="152" t="str">
        <x:v>平日</x:v>
      </x:c>
      <x:c r="C52" s="152" t="str">
        <x:v>35~44歲</x:v>
      </x:c>
      <x:c r="D52" s="40" t="n">
        <x:v>32204</x:v>
      </x:c>
      <x:c r="E52" s="40" t="n">
        <x:v>30769</x:v>
      </x:c>
      <x:c r="F52" s="153" t="n">
        <x:v>0</x:v>
      </x:c>
      <x:c r="G52" s="154" t="n">
        <x:f>SUM(D52:F52)</x:f>
        <x:v>62973</x:v>
      </x:c>
      <x:c r="H52" s="155" t="n">
        <x:f>IF(SUMIFS($D$7:$D$286,$A$7:$A$286,A52,$B$7:$B$286,B52)=0,"",D52/SUMIFS($D$7:$D$286,$A$7:$A$286,A52,$B$7:$B$286,B52))</x:f>
        <x:v>0.18231534372363975</x:v>
      </x:c>
      <x:c r="I52" s="155" t="n">
        <x:f>IF(SUMIFS($E$7:$E$286,$A$7:$A$286,A52,$B$7:$B$286,B52)=0,"",E52/SUMIFS($E$7:$E$286,$A$7:$A$286,A52,$B$7:$B$286,B52))</x:f>
        <x:v>0.23721012705069694</x:v>
      </x:c>
      <x:c r="J52" s="155" t="n">
        <x:f>IF(SUMIFS($F$7:$F$286,$A$7:$A$286,A52,$B$7:$B$286,B52)=0,"",F52/SUMIFS($F$7:$F$286,$A$7:$A$286,A52,$B$7:$B$286,B52))</x:f>
        <x:v>0</x:v>
      </x:c>
      <x:c r="K52" s="155" t="n">
        <x:f>IF(SUMIFS($G$7:$G$286,$A$7:$A$286,A52,$B$7:$B$286,B52)=0,"",G52/SUMIFS($G$7:$G$286,$A$7:$A$286,A52,$B$7:$B$286,B52))</x:f>
        <x:v>0.13101796756019007</x:v>
      </x:c>
      <x:c r="L52" s="1"/>
      <x:c r="M52" s="1"/>
      <x:c r="N52" s="1"/>
      <x:c r="O52" s="1"/>
      <x:c r="P52" s="1"/>
      <x:c r="Q52" s="1"/>
    </x:row>
    <x:row r="53">
      <x:c r="A53" s="151" t="n">
        <x:v>45901</x:v>
      </x:c>
      <x:c r="B53" s="152" t="str">
        <x:v>平日</x:v>
      </x:c>
      <x:c r="C53" s="152" t="str">
        <x:v>45~54歲</x:v>
      </x:c>
      <x:c r="D53" s="40" t="n">
        <x:v>26254</x:v>
      </x:c>
      <x:c r="E53" s="40" t="n">
        <x:v>23724</x:v>
      </x:c>
      <x:c r="F53" s="153" t="n">
        <x:v>0</x:v>
      </x:c>
      <x:c r="G53" s="154" t="n">
        <x:f>SUM(D53:F53)</x:f>
        <x:v>49978</x:v>
      </x:c>
      <x:c r="H53" s="155" t="n">
        <x:f>IF(SUMIFS($D$7:$D$286,$A$7:$A$286,A53,$B$7:$B$286,B53)=0,"",D53/SUMIFS($D$7:$D$286,$A$7:$A$286,A53,$B$7:$B$286,B53))</x:f>
        <x:v>0.1486308233176139</x:v>
      </x:c>
      <x:c r="I53" s="155" t="n">
        <x:f>IF(SUMIFS($E$7:$E$286,$A$7:$A$286,A53,$B$7:$B$286,B53)=0,"",E53/SUMIFS($E$7:$E$286,$A$7:$A$286,A53,$B$7:$B$286,B53))</x:f>
        <x:v>0.1828974959911188</x:v>
      </x:c>
      <x:c r="J53" s="155" t="n">
        <x:f>IF(SUMIFS($F$7:$F$286,$A$7:$A$286,A53,$B$7:$B$286,B53)=0,"",F53/SUMIFS($F$7:$F$286,$A$7:$A$286,A53,$B$7:$B$286,B53))</x:f>
        <x:v>0</x:v>
      </x:c>
      <x:c r="K53" s="155" t="n">
        <x:f>IF(SUMIFS($G$7:$G$286,$A$7:$A$286,A53,$B$7:$B$286,B53)=0,"",G53/SUMIFS($G$7:$G$286,$A$7:$A$286,A53,$B$7:$B$286,B53))</x:f>
        <x:v>0.10398132505555047</x:v>
      </x:c>
      <x:c r="L53" s="1"/>
      <x:c r="M53" s="1"/>
      <x:c r="N53" s="1"/>
      <x:c r="O53" s="1"/>
      <x:c r="P53" s="1"/>
      <x:c r="Q53" s="1"/>
    </x:row>
    <x:row r="54">
      <x:c r="A54" s="151" t="n">
        <x:v>45901</x:v>
      </x:c>
      <x:c r="B54" s="152" t="str">
        <x:v>平日</x:v>
      </x:c>
      <x:c r="C54" s="152" t="str">
        <x:v>55~64歲</x:v>
      </x:c>
      <x:c r="D54" s="40" t="n">
        <x:v>15696</x:v>
      </x:c>
      <x:c r="E54" s="40" t="n">
        <x:v>11443</x:v>
      </x:c>
      <x:c r="F54" s="153" t="n">
        <x:v>0</x:v>
      </x:c>
      <x:c r="G54" s="154" t="n">
        <x:f>SUM(D54:F54)</x:f>
        <x:v>27139</x:v>
      </x:c>
      <x:c r="H54" s="155" t="n">
        <x:f>IF(SUMIFS($D$7:$D$286,$A$7:$A$286,A54,$B$7:$B$286,B54)=0,"",D54/SUMIFS($D$7:$D$286,$A$7:$A$286,A54,$B$7:$B$286,B54))</x:f>
        <x:v>0.08885919870470281</x:v>
      </x:c>
      <x:c r="I54" s="155" t="n">
        <x:f>IF(SUMIFS($E$7:$E$286,$A$7:$A$286,A54,$B$7:$B$286,B54)=0,"",E54/SUMIFS($E$7:$E$286,$A$7:$A$286,A54,$B$7:$B$286,B54))</x:f>
        <x:v>0.08821851486369804</x:v>
      </x:c>
      <x:c r="J54" s="155" t="n">
        <x:f>IF(SUMIFS($F$7:$F$286,$A$7:$A$286,A54,$B$7:$B$286,B54)=0,"",F54/SUMIFS($F$7:$F$286,$A$7:$A$286,A54,$B$7:$B$286,B54))</x:f>
        <x:v>0</x:v>
      </x:c>
      <x:c r="K54" s="155" t="n">
        <x:f>IF(SUMIFS($G$7:$G$286,$A$7:$A$286,A54,$B$7:$B$286,B54)=0,"",G54/SUMIFS($G$7:$G$286,$A$7:$A$286,A54,$B$7:$B$286,B54))</x:f>
        <x:v>0.05646382769783873</x:v>
      </x:c>
      <x:c r="L54" s="1"/>
      <x:c r="M54" s="1"/>
      <x:c r="N54" s="1"/>
      <x:c r="O54" s="1"/>
      <x:c r="P54" s="1"/>
      <x:c r="Q54" s="1"/>
    </x:row>
    <x:row r="55">
      <x:c r="A55" s="151" t="n">
        <x:v>45901</x:v>
      </x:c>
      <x:c r="B55" s="152" t="str">
        <x:v>平日</x:v>
      </x:c>
      <x:c r="C55" s="152" t="str">
        <x:v>65~100歲</x:v>
      </x:c>
      <x:c r="D55" s="40" t="n">
        <x:v>25141</x:v>
      </x:c>
      <x:c r="E55" s="40" t="n">
        <x:v>8476</x:v>
      </x:c>
      <x:c r="F55" s="153" t="n">
        <x:v>0</x:v>
      </x:c>
      <x:c r="G55" s="154" t="n">
        <x:f>SUM(D55:F55)</x:f>
        <x:v>33617</x:v>
      </x:c>
      <x:c r="H55" s="155" t="n">
        <x:f>IF(SUMIFS($D$7:$D$286,$A$7:$A$286,A55,$B$7:$B$286,B55)=0,"",D55/SUMIFS($D$7:$D$286,$A$7:$A$286,A55,$B$7:$B$286,B55))</x:f>
        <x:v>0.14232983655931022</x:v>
      </x:c>
      <x:c r="I55" s="155" t="n">
        <x:f>IF(SUMIFS($E$7:$E$286,$A$7:$A$286,A55,$B$7:$B$286,B55)=0,"",E55/SUMIFS($E$7:$E$286,$A$7:$A$286,A55,$B$7:$B$286,B55))</x:f>
        <x:v>0.06534476378438386</x:v>
      </x:c>
      <x:c r="J55" s="155" t="n">
        <x:f>IF(SUMIFS($F$7:$F$286,$A$7:$A$286,A55,$B$7:$B$286,B55)=0,"",F55/SUMIFS($F$7:$F$286,$A$7:$A$286,A55,$B$7:$B$286,B55))</x:f>
        <x:v>0</x:v>
      </x:c>
      <x:c r="K55" s="155" t="n">
        <x:f>IF(SUMIFS($G$7:$G$286,$A$7:$A$286,A55,$B$7:$B$286,B55)=0,"",G55/SUMIFS($G$7:$G$286,$A$7:$A$286,A55,$B$7:$B$286,B55))</x:f>
        <x:v>0.06994157838233703</x:v>
      </x:c>
      <x:c r="L55" s="1"/>
      <x:c r="M55" s="1"/>
      <x:c r="N55" s="1"/>
      <x:c r="O55" s="1"/>
      <x:c r="P55" s="1"/>
      <x:c r="Q55" s="1"/>
    </x:row>
    <x:row r="56">
      <x:c r="A56" s="151" t="n">
        <x:v>45901</x:v>
      </x:c>
      <x:c r="B56" s="152" t="str">
        <x:v>平日</x:v>
      </x:c>
      <x:c r="C56" s="152" t="str">
        <x:v>未投保或資料有誤</x:v>
      </x:c>
      <x:c r="D56" s="40" t="n">
        <x:v>0</x:v>
      </x:c>
      <x:c r="E56" s="40" t="n">
        <x:v>0</x:v>
      </x:c>
      <x:c r="F56" s="153" t="n">
        <x:v>174293</x:v>
      </x:c>
      <x:c r="G56" s="154" t="n">
        <x:f>SUM(D56:F56)</x:f>
        <x:v>174293</x:v>
      </x:c>
      <x:c r="H56" s="155" t="n">
        <x:f>IF(SUMIFS($D$7:$D$286,$A$7:$A$286,A56,$B$7:$B$286,B56)=0,"",D56/SUMIFS($D$7:$D$286,$A$7:$A$286,A56,$B$7:$B$286,B56))</x:f>
        <x:v>0</x:v>
      </x:c>
      <x:c r="I56" s="155" t="n">
        <x:f>IF(SUMIFS($E$7:$E$286,$A$7:$A$286,A56,$B$7:$B$286,B56)=0,"",E56/SUMIFS($E$7:$E$286,$A$7:$A$286,A56,$B$7:$B$286,B56))</x:f>
        <x:v>0</x:v>
      </x:c>
      <x:c r="J56" s="155" t="n">
        <x:f>IF(SUMIFS($F$7:$F$286,$A$7:$A$286,A56,$B$7:$B$286,B56)=0,"",F56/SUMIFS($F$7:$F$286,$A$7:$A$286,A56,$B$7:$B$286,B56))</x:f>
        <x:v>1</x:v>
      </x:c>
      <x:c r="K56" s="155" t="n">
        <x:f>IF(SUMIFS($G$7:$G$286,$A$7:$A$286,A56,$B$7:$B$286,B56)=0,"",G56/SUMIFS($G$7:$G$286,$A$7:$A$286,A56,$B$7:$B$286,B56))</x:f>
        <x:v>0.3626238962725011</x:v>
      </x:c>
      <x:c r="L56" s="1"/>
      <x:c r="M56" s="1"/>
      <x:c r="N56" s="1"/>
      <x:c r="O56" s="1"/>
      <x:c r="P56" s="1"/>
      <x:c r="Q56" s="1"/>
    </x:row>
    <x:row r="57">
      <x:c r="A57" s="151" t="n">
        <x:v>45901</x:v>
      </x:c>
      <x:c r="B57" s="152" t="str">
        <x:v>假日</x:v>
      </x:c>
      <x:c r="C57" s="152" t="str">
        <x:v>08~11歲</x:v>
      </x:c>
      <x:c r="D57" s="40" t="n">
        <x:v>175</x:v>
      </x:c>
      <x:c r="E57" s="40" t="n">
        <x:v>62</x:v>
      </x:c>
      <x:c r="F57" s="153" t="n">
        <x:v>0</x:v>
      </x:c>
      <x:c r="G57" s="154" t="n">
        <x:f>SUM(D57:F57)</x:f>
        <x:v>237</x:v>
      </x:c>
      <x:c r="H57" s="155" t="n">
        <x:f>IF(SUMIFS($D$7:$D$286,$A$7:$A$286,A57,$B$7:$B$286,B57)=0,"",D57/SUMIFS($D$7:$D$286,$A$7:$A$286,A57,$B$7:$B$286,B57))</x:f>
        <x:v>0.002810161544143623</x:v>
      </x:c>
      <x:c r="I57" s="155" t="n">
        <x:f>IF(SUMIFS($E$7:$E$286,$A$7:$A$286,A57,$B$7:$B$286,B57)=0,"",E57/SUMIFS($E$7:$E$286,$A$7:$A$286,A57,$B$7:$B$286,B57))</x:f>
        <x:v>0.0014361160011118318</x:v>
      </x:c>
      <x:c r="J57" s="155" t="n">
        <x:f>IF(SUMIFS($F$7:$F$286,$A$7:$A$286,A57,$B$7:$B$286,B57)=0,"",F57/SUMIFS($F$7:$F$286,$A$7:$A$286,A57,$B$7:$B$286,B57))</x:f>
        <x:v>0</x:v>
      </x:c>
      <x:c r="K57" s="155" t="n">
        <x:f>IF(SUMIFS($G$7:$G$286,$A$7:$A$286,A57,$B$7:$B$286,B57)=0,"",G57/SUMIFS($G$7:$G$286,$A$7:$A$286,A57,$B$7:$B$286,B57))</x:f>
        <x:v>0.0013943308976667019</x:v>
      </x:c>
      <x:c r="L57" s="1"/>
      <x:c r="M57" s="1"/>
      <x:c r="N57" s="1"/>
      <x:c r="O57" s="1"/>
      <x:c r="P57" s="1"/>
      <x:c r="Q57" s="1"/>
    </x:row>
    <x:row r="58">
      <x:c r="A58" s="151" t="n">
        <x:v>45901</x:v>
      </x:c>
      <x:c r="B58" s="152" t="str">
        <x:v>假日</x:v>
      </x:c>
      <x:c r="C58" s="152" t="str">
        <x:v>12~14歲</x:v>
      </x:c>
      <x:c r="D58" s="40" t="n">
        <x:v>1599</x:v>
      </x:c>
      <x:c r="E58" s="40" t="n">
        <x:v>463</x:v>
      </x:c>
      <x:c r="F58" s="153" t="n">
        <x:v>0</x:v>
      </x:c>
      <x:c r="G58" s="154" t="n">
        <x:f>SUM(D58:F58)</x:f>
        <x:v>2062</x:v>
      </x:c>
      <x:c r="H58" s="155" t="n">
        <x:f>IF(SUMIFS($D$7:$D$286,$A$7:$A$286,A58,$B$7:$B$286,B58)=0,"",D58/SUMIFS($D$7:$D$286,$A$7:$A$286,A58,$B$7:$B$286,B58))</x:f>
        <x:v>0.02567684748048945</x:v>
      </x:c>
      <x:c r="I58" s="155" t="n">
        <x:f>IF(SUMIFS($E$7:$E$286,$A$7:$A$286,A58,$B$7:$B$286,B58)=0,"",E58/SUMIFS($E$7:$E$286,$A$7:$A$286,A58,$B$7:$B$286,B58))</x:f>
        <x:v>0.010724543685722227</x:v>
      </x:c>
      <x:c r="J58" s="155" t="n">
        <x:f>IF(SUMIFS($F$7:$F$286,$A$7:$A$286,A58,$B$7:$B$286,B58)=0,"",F58/SUMIFS($F$7:$F$286,$A$7:$A$286,A58,$B$7:$B$286,B58))</x:f>
        <x:v>0</x:v>
      </x:c>
      <x:c r="K58" s="155" t="n">
        <x:f>IF(SUMIFS($G$7:$G$286,$A$7:$A$286,A58,$B$7:$B$286,B58)=0,"",G58/SUMIFS($G$7:$G$286,$A$7:$A$286,A58,$B$7:$B$286,B58))</x:f>
        <x:v>0.012131267134973584</x:v>
      </x:c>
      <x:c r="L58" s="1"/>
      <x:c r="M58" s="1"/>
      <x:c r="N58" s="1"/>
      <x:c r="O58" s="1"/>
      <x:c r="P58" s="1"/>
      <x:c r="Q58" s="1"/>
    </x:row>
    <x:row r="59">
      <x:c r="A59" s="151" t="n">
        <x:v>45901</x:v>
      </x:c>
      <x:c r="B59" s="152" t="str">
        <x:v>假日</x:v>
      </x:c>
      <x:c r="C59" s="152" t="str">
        <x:v>15~17歲</x:v>
      </x:c>
      <x:c r="D59" s="40" t="n">
        <x:v>3282</x:v>
      </x:c>
      <x:c r="E59" s="40" t="n">
        <x:v>1267</x:v>
      </x:c>
      <x:c r="F59" s="153" t="n">
        <x:v>0</x:v>
      </x:c>
      <x:c r="G59" s="154" t="n">
        <x:f>SUM(D59:F59)</x:f>
        <x:v>4549</x:v>
      </x:c>
      <x:c r="H59" s="155" t="n">
        <x:f>IF(SUMIFS($D$7:$D$286,$A$7:$A$286,A59,$B$7:$B$286,B59)=0,"",D59/SUMIFS($D$7:$D$286,$A$7:$A$286,A59,$B$7:$B$286,B59))</x:f>
        <x:v>0.05270257250216784</x:v>
      </x:c>
      <x:c r="I59" s="155" t="n">
        <x:f>IF(SUMIFS($E$7:$E$286,$A$7:$A$286,A59,$B$7:$B$286,B59)=0,"",E59/SUMIFS($E$7:$E$286,$A$7:$A$286,A59,$B$7:$B$286,B59))</x:f>
        <x:v>0.02934772537755953</x:v>
      </x:c>
      <x:c r="J59" s="155" t="n">
        <x:f>IF(SUMIFS($F$7:$F$286,$A$7:$A$286,A59,$B$7:$B$286,B59)=0,"",F59/SUMIFS($F$7:$F$286,$A$7:$A$286,A59,$B$7:$B$286,B59))</x:f>
        <x:v>0</x:v>
      </x:c>
      <x:c r="K59" s="155" t="n">
        <x:f>IF(SUMIFS($G$7:$G$286,$A$7:$A$286,A59,$B$7:$B$286,B59)=0,"",G59/SUMIFS($G$7:$G$286,$A$7:$A$286,A59,$B$7:$B$286,B59))</x:f>
        <x:v>0.026762916681374798</x:v>
      </x:c>
      <x:c r="L59" s="1"/>
      <x:c r="M59" s="1"/>
      <x:c r="N59" s="1"/>
      <x:c r="O59" s="1"/>
      <x:c r="P59" s="1"/>
      <x:c r="Q59" s="1"/>
    </x:row>
    <x:row r="60">
      <x:c r="A60" s="151" t="n">
        <x:v>45901</x:v>
      </x:c>
      <x:c r="B60" s="152" t="str">
        <x:v>假日</x:v>
      </x:c>
      <x:c r="C60" s="152" t="str">
        <x:v>18~24歲</x:v>
      </x:c>
      <x:c r="D60" s="40" t="n">
        <x:v>6568</x:v>
      </x:c>
      <x:c r="E60" s="40" t="n">
        <x:v>4874</x:v>
      </x:c>
      <x:c r="F60" s="153" t="n">
        <x:v>0</x:v>
      </x:c>
      <x:c r="G60" s="154" t="n">
        <x:f>SUM(D60:F60)</x:f>
        <x:v>11442</x:v>
      </x:c>
      <x:c r="H60" s="155" t="n">
        <x:f>IF(SUMIFS($D$7:$D$286,$A$7:$A$286,A60,$B$7:$B$286,B60)=0,"",D60/SUMIFS($D$7:$D$286,$A$7:$A$286,A60,$B$7:$B$286,B60))</x:f>
        <x:v>0.10546937726820181</x:v>
      </x:c>
      <x:c r="I60" s="155" t="n">
        <x:f>IF(SUMIFS($E$7:$E$286,$A$7:$A$286,A60,$B$7:$B$286,B60)=0,"",E60/SUMIFS($E$7:$E$286,$A$7:$A$286,A60,$B$7:$B$286,B60))</x:f>
        <x:v>0.11289724821643658</x:v>
      </x:c>
      <x:c r="J60" s="155" t="n">
        <x:f>IF(SUMIFS($F$7:$F$286,$A$7:$A$286,A60,$B$7:$B$286,B60)=0,"",F60/SUMIFS($F$7:$F$286,$A$7:$A$286,A60,$B$7:$B$286,B60))</x:f>
        <x:v>0</x:v>
      </x:c>
      <x:c r="K60" s="155" t="n">
        <x:f>IF(SUMIFS($G$7:$G$286,$A$7:$A$286,A60,$B$7:$B$286,B60)=0,"",G60/SUMIFS($G$7:$G$286,$A$7:$A$286,A60,$B$7:$B$286,B60))</x:f>
        <x:v>0.06731617776836457</x:v>
      </x:c>
      <x:c r="L60" s="1"/>
      <x:c r="M60" s="1"/>
      <x:c r="N60" s="1"/>
      <x:c r="O60" s="1"/>
      <x:c r="P60" s="1"/>
      <x:c r="Q60" s="1"/>
    </x:row>
    <x:row r="61">
      <x:c r="A61" s="151" t="n">
        <x:v>45901</x:v>
      </x:c>
      <x:c r="B61" s="152" t="str">
        <x:v>假日</x:v>
      </x:c>
      <x:c r="C61" s="152" t="str">
        <x:v>25~34歲</x:v>
      </x:c>
      <x:c r="D61" s="40" t="n">
        <x:v>13076</x:v>
      </x:c>
      <x:c r="E61" s="40" t="n">
        <x:v>10645</x:v>
      </x:c>
      <x:c r="F61" s="153" t="n">
        <x:v>0</x:v>
      </x:c>
      <x:c r="G61" s="154" t="n">
        <x:f>SUM(D61:F61)</x:f>
        <x:v>23721</x:v>
      </x:c>
      <x:c r="H61" s="155" t="n">
        <x:f>IF(SUMIFS($D$7:$D$286,$A$7:$A$286,A61,$B$7:$B$286,B61)=0,"",D61/SUMIFS($D$7:$D$286,$A$7:$A$286,A61,$B$7:$B$286,B61))</x:f>
        <x:v>0.20997527057841153</x:v>
      </x:c>
      <x:c r="I61" s="155" t="n">
        <x:f>IF(SUMIFS($E$7:$E$286,$A$7:$A$286,A61,$B$7:$B$286,B61)=0,"",E61/SUMIFS($E$7:$E$286,$A$7:$A$286,A61,$B$7:$B$286,B61))</x:f>
        <x:v>0.24657185212637822</x:v>
      </x:c>
      <x:c r="J61" s="155" t="n">
        <x:f>IF(SUMIFS($F$7:$F$286,$A$7:$A$286,A61,$B$7:$B$286,B61)=0,"",F61/SUMIFS($F$7:$F$286,$A$7:$A$286,A61,$B$7:$B$286,B61))</x:f>
        <x:v>0</x:v>
      </x:c>
      <x:c r="K61" s="155" t="n">
        <x:f>IF(SUMIFS($G$7:$G$286,$A$7:$A$286,A61,$B$7:$B$286,B61)=0,"",G61/SUMIFS($G$7:$G$286,$A$7:$A$286,A61,$B$7:$B$286,B61))</x:f>
        <x:v>0.13955663807405838</x:v>
      </x:c>
      <x:c r="L61" s="1"/>
      <x:c r="M61" s="1"/>
      <x:c r="N61" s="1"/>
      <x:c r="O61" s="1"/>
      <x:c r="P61" s="1"/>
      <x:c r="Q61" s="1"/>
    </x:row>
    <x:row r="62">
      <x:c r="A62" s="151" t="n">
        <x:v>45901</x:v>
      </x:c>
      <x:c r="B62" s="152" t="str">
        <x:v>假日</x:v>
      </x:c>
      <x:c r="C62" s="152" t="str">
        <x:v>35~44歲</x:v>
      </x:c>
      <x:c r="D62" s="40" t="n">
        <x:v>11840</x:v>
      </x:c>
      <x:c r="E62" s="40" t="n">
        <x:v>9573</x:v>
      </x:c>
      <x:c r="F62" s="153" t="n">
        <x:v>0</x:v>
      </x:c>
      <x:c r="G62" s="154" t="n">
        <x:f>SUM(D62:F62)</x:f>
        <x:v>21413</x:v>
      </x:c>
      <x:c r="H62" s="155" t="n">
        <x:f>IF(SUMIFS($D$7:$D$286,$A$7:$A$286,A62,$B$7:$B$286,B62)=0,"",D62/SUMIFS($D$7:$D$286,$A$7:$A$286,A62,$B$7:$B$286,B62))</x:f>
        <x:v>0.1901275010437743</x:v>
      </x:c>
      <x:c r="I62" s="155" t="n">
        <x:f>IF(SUMIFS($E$7:$E$286,$A$7:$A$286,A62,$B$7:$B$286,B62)=0,"",E62/SUMIFS($E$7:$E$286,$A$7:$A$286,A62,$B$7:$B$286,B62))</x:f>
        <x:v>0.22174094320392848</x:v>
      </x:c>
      <x:c r="J62" s="155" t="n">
        <x:f>IF(SUMIFS($F$7:$F$286,$A$7:$A$286,A62,$B$7:$B$286,B62)=0,"",F62/SUMIFS($F$7:$F$286,$A$7:$A$286,A62,$B$7:$B$286,B62))</x:f>
        <x:v>0</x:v>
      </x:c>
      <x:c r="K62" s="155" t="n">
        <x:f>IF(SUMIFS($G$7:$G$286,$A$7:$A$286,A62,$B$7:$B$286,B62)=0,"",G62/SUMIFS($G$7:$G$286,$A$7:$A$286,A62,$B$7:$B$286,B62))</x:f>
        <x:v>0.12597809076682315</x:v>
      </x:c>
      <x:c r="L62" s="1"/>
      <x:c r="M62" s="1"/>
      <x:c r="N62" s="1"/>
      <x:c r="O62" s="1"/>
      <x:c r="P62" s="1"/>
      <x:c r="Q62" s="1"/>
    </x:row>
    <x:row r="63">
      <x:c r="A63" s="151" t="n">
        <x:v>45901</x:v>
      </x:c>
      <x:c r="B63" s="152" t="str">
        <x:v>假日</x:v>
      </x:c>
      <x:c r="C63" s="152" t="str">
        <x:v>45~54歲</x:v>
      </x:c>
      <x:c r="D63" s="40" t="n">
        <x:v>10168</x:v>
      </x:c>
      <x:c r="E63" s="40" t="n">
        <x:v>8904</x:v>
      </x:c>
      <x:c r="F63" s="153" t="n">
        <x:v>0</x:v>
      </x:c>
      <x:c r="G63" s="154" t="n">
        <x:f>SUM(D63:F63)</x:f>
        <x:v>19072</x:v>
      </x:c>
      <x:c r="H63" s="155" t="n">
        <x:f>IF(SUMIFS($D$7:$D$286,$A$7:$A$286,A63,$B$7:$B$286,B63)=0,"",D63/SUMIFS($D$7:$D$286,$A$7:$A$286,A63,$B$7:$B$286,B63))</x:f>
        <x:v>0.16327841474772778</x:v>
      </x:c>
      <x:c r="I63" s="155" t="n">
        <x:f>IF(SUMIFS($E$7:$E$286,$A$7:$A$286,A63,$B$7:$B$286,B63)=0,"",E63/SUMIFS($E$7:$E$286,$A$7:$A$286,A63,$B$7:$B$286,B63))</x:f>
        <x:v>0.20624478828870565</x:v>
      </x:c>
      <x:c r="J63" s="155" t="n">
        <x:f>IF(SUMIFS($F$7:$F$286,$A$7:$A$286,A63,$B$7:$B$286,B63)=0,"",F63/SUMIFS($F$7:$F$286,$A$7:$A$286,A63,$B$7:$B$286,B63))</x:f>
        <x:v>0</x:v>
      </x:c>
      <x:c r="K63" s="155" t="n">
        <x:f>IF(SUMIFS($G$7:$G$286,$A$7:$A$286,A63,$B$7:$B$286,B63)=0,"",G63/SUMIFS($G$7:$G$286,$A$7:$A$286,A63,$B$7:$B$286,B63))</x:f>
        <x:v>0.1122053961194065</x:v>
      </x:c>
      <x:c r="L63" s="1"/>
      <x:c r="M63" s="1"/>
      <x:c r="N63" s="1"/>
      <x:c r="O63" s="1"/>
      <x:c r="P63" s="1"/>
      <x:c r="Q63" s="1"/>
    </x:row>
    <x:row r="64">
      <x:c r="A64" s="151" t="n">
        <x:v>45901</x:v>
      </x:c>
      <x:c r="B64" s="152" t="str">
        <x:v>假日</x:v>
      </x:c>
      <x:c r="C64" s="152" t="str">
        <x:v>55~64歲</x:v>
      </x:c>
      <x:c r="D64" s="40" t="n">
        <x:v>5970</x:v>
      </x:c>
      <x:c r="E64" s="40" t="n">
        <x:v>4252</x:v>
      </x:c>
      <x:c r="F64" s="153" t="n">
        <x:v>0</x:v>
      </x:c>
      <x:c r="G64" s="154" t="n">
        <x:f>SUM(D64:F64)</x:f>
        <x:v>10222</x:v>
      </x:c>
      <x:c r="H64" s="155" t="n">
        <x:f>IF(SUMIFS($D$7:$D$286,$A$7:$A$286,A64,$B$7:$B$286,B64)=0,"",D64/SUMIFS($D$7:$D$286,$A$7:$A$286,A64,$B$7:$B$286,B64))</x:f>
        <x:v>0.09586665382021389</x:v>
      </x:c>
      <x:c r="I64" s="155" t="n">
        <x:f>IF(SUMIFS($E$7:$E$286,$A$7:$A$286,A64,$B$7:$B$286,B64)=0,"",E64/SUMIFS($E$7:$E$286,$A$7:$A$286,A64,$B$7:$B$286,B64))</x:f>
        <x:v>0.09848976188270175</x:v>
      </x:c>
      <x:c r="J64" s="155" t="n">
        <x:f>IF(SUMIFS($F$7:$F$286,$A$7:$A$286,A64,$B$7:$B$286,B64)=0,"",F64/SUMIFS($F$7:$F$286,$A$7:$A$286,A64,$B$7:$B$286,B64))</x:f>
        <x:v>0</x:v>
      </x:c>
      <x:c r="K64" s="155" t="n">
        <x:f>IF(SUMIFS($G$7:$G$286,$A$7:$A$286,A64,$B$7:$B$286,B64)=0,"",G64/SUMIFS($G$7:$G$286,$A$7:$A$286,A64,$B$7:$B$286,B64))</x:f>
        <x:v>0.06013860943438408</x:v>
      </x:c>
      <x:c r="L64" s="1"/>
      <x:c r="M64" s="1"/>
      <x:c r="N64" s="1"/>
      <x:c r="O64" s="1"/>
      <x:c r="P64" s="1"/>
      <x:c r="Q64" s="1"/>
    </x:row>
    <x:row r="65">
      <x:c r="A65" s="151" t="n">
        <x:v>45901</x:v>
      </x:c>
      <x:c r="B65" s="152" t="str">
        <x:v>假日</x:v>
      </x:c>
      <x:c r="C65" s="152" t="str">
        <x:v>65~100歲</x:v>
      </x:c>
      <x:c r="D65" s="40" t="n">
        <x:v>9596</x:v>
      </x:c>
      <x:c r="E65" s="40" t="n">
        <x:v>3132</x:v>
      </x:c>
      <x:c r="F65" s="153" t="n">
        <x:v>0</x:v>
      </x:c>
      <x:c r="G65" s="154" t="n">
        <x:f>SUM(D65:F65)</x:f>
        <x:v>12728</x:v>
      </x:c>
      <x:c r="H65" s="155" t="n">
        <x:f>IF(SUMIFS($D$7:$D$286,$A$7:$A$286,A65,$B$7:$B$286,B65)=0,"",D65/SUMIFS($D$7:$D$286,$A$7:$A$286,A65,$B$7:$B$286,B65))</x:f>
        <x:v>0.15409320101486976</x:v>
      </x:c>
      <x:c r="I65" s="155" t="n">
        <x:f>IF(SUMIFS($E$7:$E$286,$A$7:$A$286,A65,$B$7:$B$286,B65)=0,"",E65/SUMIFS($E$7:$E$286,$A$7:$A$286,A65,$B$7:$B$286,B65))</x:f>
        <x:v>0.07254702121745576</x:v>
      </x:c>
      <x:c r="J65" s="155" t="n">
        <x:f>IF(SUMIFS($F$7:$F$286,$A$7:$A$286,A65,$B$7:$B$286,B65)=0,"",F65/SUMIFS($F$7:$F$286,$A$7:$A$286,A65,$B$7:$B$286,B65))</x:f>
        <x:v>0</x:v>
      </x:c>
      <x:c r="K65" s="155" t="n">
        <x:f>IF(SUMIFS($G$7:$G$286,$A$7:$A$286,A65,$B$7:$B$286,B65)=0,"",G65/SUMIFS($G$7:$G$286,$A$7:$A$286,A65,$B$7:$B$286,B65))</x:f>
        <x:v>0.07488204078270794</x:v>
      </x:c>
      <x:c r="L65" s="1"/>
      <x:c r="M65" s="1"/>
      <x:c r="N65" s="1"/>
      <x:c r="O65" s="1"/>
      <x:c r="P65" s="1"/>
      <x:c r="Q65" s="1"/>
    </x:row>
    <x:row r="66">
      <x:c r="A66" s="151" t="n">
        <x:v>45901</x:v>
      </x:c>
      <x:c r="B66" s="152" t="str">
        <x:v>假日</x:v>
      </x:c>
      <x:c r="C66" s="152" t="str">
        <x:v>未投保或資料有誤</x:v>
      </x:c>
      <x:c r="D66" s="40" t="n">
        <x:v>0</x:v>
      </x:c>
      <x:c r="E66" s="40" t="n">
        <x:v>0</x:v>
      </x:c>
      <x:c r="F66" s="153" t="n">
        <x:v>64528</x:v>
      </x:c>
      <x:c r="G66" s="154" t="n">
        <x:f>SUM(D66:F66)</x:f>
        <x:v>64528</x:v>
      </x:c>
      <x:c r="H66" s="155" t="n">
        <x:f>IF(SUMIFS($D$7:$D$286,$A$7:$A$286,A66,$B$7:$B$286,B66)=0,"",D66/SUMIFS($D$7:$D$286,$A$7:$A$286,A66,$B$7:$B$286,B66))</x:f>
        <x:v>0</x:v>
      </x:c>
      <x:c r="I66" s="155" t="n">
        <x:f>IF(SUMIFS($E$7:$E$286,$A$7:$A$286,A66,$B$7:$B$286,B66)=0,"",E66/SUMIFS($E$7:$E$286,$A$7:$A$286,A66,$B$7:$B$286,B66))</x:f>
        <x:v>0</x:v>
      </x:c>
      <x:c r="J66" s="155" t="n">
        <x:f>IF(SUMIFS($F$7:$F$286,$A$7:$A$286,A66,$B$7:$B$286,B66)=0,"",F66/SUMIFS($F$7:$F$286,$A$7:$A$286,A66,$B$7:$B$286,B66))</x:f>
        <x:v>1</x:v>
      </x:c>
      <x:c r="K66" s="155" t="n">
        <x:f>IF(SUMIFS($G$7:$G$286,$A$7:$A$286,A66,$B$7:$B$286,B66)=0,"",G66/SUMIFS($G$7:$G$286,$A$7:$A$286,A66,$B$7:$B$286,B66))</x:f>
        <x:v>0.37963453234024025</x:v>
      </x:c>
      <x:c r="L66" s="1"/>
      <x:c r="M66" s="1"/>
      <x:c r="N66" s="1"/>
      <x:c r="O66" s="1"/>
      <x:c r="P66" s="1"/>
      <x:c r="Q66" s="1"/>
    </x:row>
    <x:row r="67">
      <x:c r="A67" s="151" t="n">
        <x:v>45931</x:v>
      </x:c>
      <x:c r="B67" s="152" t="str">
        <x:v>平日</x:v>
      </x:c>
      <x:c r="C67" s="152" t="str">
        <x:v>08~11歲</x:v>
      </x:c>
      <x:c r="D67" s="40" t="n">
        <x:v>252</x:v>
      </x:c>
      <x:c r="E67" s="40" t="n">
        <x:v>91</x:v>
      </x:c>
      <x:c r="F67" s="153" t="n">
        <x:v>0</x:v>
      </x:c>
      <x:c r="G67" s="154" t="n">
        <x:f>SUM(D67:F67)</x:f>
        <x:v>343</x:v>
      </x:c>
      <x:c r="H67" s="155" t="n">
        <x:f>IF(SUMIFS($D$7:$D$286,$A$7:$A$286,A67,$B$7:$B$286,B67)=0,"",D67/SUMIFS($D$7:$D$286,$A$7:$A$286,A67,$B$7:$B$286,B67))</x:f>
        <x:v>0.001717756283102595</x:v>
      </x:c>
      <x:c r="I67" s="155" t="n">
        <x:f>IF(SUMIFS($E$7:$E$286,$A$7:$A$286,A67,$B$7:$B$286,B67)=0,"",E67/SUMIFS($E$7:$E$286,$A$7:$A$286,A67,$B$7:$B$286,B67))</x:f>
        <x:v>0.0008674928503336511</x:v>
      </x:c>
      <x:c r="J67" s="155" t="n">
        <x:f>IF(SUMIFS($F$7:$F$286,$A$7:$A$286,A67,$B$7:$B$286,B67)=0,"",F67/SUMIFS($F$7:$F$286,$A$7:$A$286,A67,$B$7:$B$286,B67))</x:f>
        <x:v>0</x:v>
      </x:c>
      <x:c r="K67" s="155" t="n">
        <x:f>IF(SUMIFS($G$7:$G$286,$A$7:$A$286,A67,$B$7:$B$286,B67)=0,"",G67/SUMIFS($G$7:$G$286,$A$7:$A$286,A67,$B$7:$B$286,B67))</x:f>
        <x:v>0.0008287726674157032</x:v>
      </x:c>
      <x:c r="L67" s="1"/>
      <x:c r="M67" s="1"/>
      <x:c r="N67" s="1"/>
      <x:c r="O67" s="1"/>
      <x:c r="P67" s="1"/>
      <x:c r="Q67" s="1"/>
    </x:row>
    <x:row r="68">
      <x:c r="A68" s="151" t="n">
        <x:v>45931</x:v>
      </x:c>
      <x:c r="B68" s="152" t="str">
        <x:v>平日</x:v>
      </x:c>
      <x:c r="C68" s="152" t="str">
        <x:v>12~14歲</x:v>
      </x:c>
      <x:c r="D68" s="40" t="n">
        <x:v>4006</x:v>
      </x:c>
      <x:c r="E68" s="40" t="n">
        <x:v>1144</x:v>
      </x:c>
      <x:c r="F68" s="153" t="n">
        <x:v>0</x:v>
      </x:c>
      <x:c r="G68" s="154" t="n">
        <x:f>SUM(D68:F68)</x:f>
        <x:v>5150</x:v>
      </x:c>
      <x:c r="H68" s="155" t="n">
        <x:f>IF(SUMIFS($D$7:$D$286,$A$7:$A$286,A68,$B$7:$B$286,B68)=0,"",D68/SUMIFS($D$7:$D$286,$A$7:$A$286,A68,$B$7:$B$286,B68))</x:f>
        <x:v>0.02730687170678173</x:v>
      </x:c>
      <x:c r="I68" s="155" t="n">
        <x:f>IF(SUMIFS($E$7:$E$286,$A$7:$A$286,A68,$B$7:$B$286,B68)=0,"",E68/SUMIFS($E$7:$E$286,$A$7:$A$286,A68,$B$7:$B$286,B68))</x:f>
        <x:v>0.01090562440419447</x:v>
      </x:c>
      <x:c r="J68" s="155" t="n">
        <x:f>IF(SUMIFS($F$7:$F$286,$A$7:$A$286,A68,$B$7:$B$286,B68)=0,"",F68/SUMIFS($F$7:$F$286,$A$7:$A$286,A68,$B$7:$B$286,B68))</x:f>
        <x:v>0</x:v>
      </x:c>
      <x:c r="K68" s="155" t="n">
        <x:f>IF(SUMIFS($G$7:$G$286,$A$7:$A$286,A68,$B$7:$B$286,B68)=0,"",G68/SUMIFS($G$7:$G$286,$A$7:$A$286,A68,$B$7:$B$286,B68))</x:f>
        <x:v>0.012443671245454436</x:v>
      </x:c>
      <x:c r="L68" s="1"/>
      <x:c r="M68" s="1"/>
      <x:c r="N68" s="1"/>
      <x:c r="O68" s="1"/>
      <x:c r="P68" s="1"/>
      <x:c r="Q68" s="1"/>
    </x:row>
    <x:row r="69">
      <x:c r="A69" s="151" t="n">
        <x:v>45931</x:v>
      </x:c>
      <x:c r="B69" s="152" t="str">
        <x:v>平日</x:v>
      </x:c>
      <x:c r="C69" s="152" t="str">
        <x:v>15~17歲</x:v>
      </x:c>
      <x:c r="D69" s="40" t="n">
        <x:v>9261</x:v>
      </x:c>
      <x:c r="E69" s="40" t="n">
        <x:v>2895</x:v>
      </x:c>
      <x:c r="F69" s="153" t="n">
        <x:v>0</x:v>
      </x:c>
      <x:c r="G69" s="154" t="n">
        <x:f>SUM(D69:F69)</x:f>
        <x:v>12156</x:v>
      </x:c>
      <x:c r="H69" s="155" t="n">
        <x:f>IF(SUMIFS($D$7:$D$286,$A$7:$A$286,A69,$B$7:$B$286,B69)=0,"",D69/SUMIFS($D$7:$D$286,$A$7:$A$286,A69,$B$7:$B$286,B69))</x:f>
        <x:v>0.06312754340402037</x:v>
      </x:c>
      <x:c r="I69" s="155" t="n">
        <x:f>IF(SUMIFS($E$7:$E$286,$A$7:$A$286,A69,$B$7:$B$286,B69)=0,"",E69/SUMIFS($E$7:$E$286,$A$7:$A$286,A69,$B$7:$B$286,B69))</x:f>
        <x:v>0.02759771210676835</x:v>
      </x:c>
      <x:c r="J69" s="155" t="n">
        <x:f>IF(SUMIFS($F$7:$F$286,$A$7:$A$286,A69,$B$7:$B$286,B69)=0,"",F69/SUMIFS($F$7:$F$286,$A$7:$A$286,A69,$B$7:$B$286,B69))</x:f>
        <x:v>0</x:v>
      </x:c>
      <x:c r="K69" s="155" t="n">
        <x:f>IF(SUMIFS($G$7:$G$286,$A$7:$A$286,A69,$B$7:$B$286,B69)=0,"",G69/SUMIFS($G$7:$G$286,$A$7:$A$286,A69,$B$7:$B$286,B69))</x:f>
        <x:v>0.029371896632960023</x:v>
      </x:c>
      <x:c r="L69" s="1"/>
      <x:c r="M69" s="1"/>
      <x:c r="N69" s="1"/>
      <x:c r="O69" s="1"/>
      <x:c r="P69" s="1"/>
      <x:c r="Q69" s="1"/>
    </x:row>
    <x:row r="70">
      <x:c r="A70" s="151" t="n">
        <x:v>45931</x:v>
      </x:c>
      <x:c r="B70" s="152" t="str">
        <x:v>平日</x:v>
      </x:c>
      <x:c r="C70" s="152" t="str">
        <x:v>18~24歲</x:v>
      </x:c>
      <x:c r="D70" s="40" t="n">
        <x:v>16022</x:v>
      </x:c>
      <x:c r="E70" s="40" t="n">
        <x:v>11812</x:v>
      </x:c>
      <x:c r="F70" s="153" t="n">
        <x:v>0</x:v>
      </x:c>
      <x:c r="G70" s="154" t="n">
        <x:f>SUM(D70:F70)</x:f>
        <x:v>27834</x:v>
      </x:c>
      <x:c r="H70" s="155" t="n">
        <x:f>IF(SUMIFS($D$7:$D$286,$A$7:$A$286,A70,$B$7:$B$286,B70)=0,"",D70/SUMIFS($D$7:$D$286,$A$7:$A$286,A70,$B$7:$B$286,B70))</x:f>
        <x:v>0.10921385384075309</x:v>
      </x:c>
      <x:c r="I70" s="155" t="n">
        <x:f>IF(SUMIFS($E$7:$E$286,$A$7:$A$286,A70,$B$7:$B$286,B70)=0,"",E70/SUMIFS($E$7:$E$286,$A$7:$A$286,A70,$B$7:$B$286,B70))</x:f>
        <x:v>0.11260247855100096</x:v>
      </x:c>
      <x:c r="J70" s="155" t="n">
        <x:f>IF(SUMIFS($F$7:$F$286,$A$7:$A$286,A70,$B$7:$B$286,B70)=0,"",F70/SUMIFS($F$7:$F$286,$A$7:$A$286,A70,$B$7:$B$286,B70))</x:f>
        <x:v>0</x:v>
      </x:c>
      <x:c r="K70" s="155" t="n">
        <x:f>IF(SUMIFS($G$7:$G$286,$A$7:$A$286,A70,$B$7:$B$286,B70)=0,"",G70/SUMIFS($G$7:$G$286,$A$7:$A$286,A70,$B$7:$B$286,B70))</x:f>
        <x:v>0.06725381464970462</x:v>
      </x:c>
      <x:c r="L70" s="1"/>
      <x:c r="M70" s="1"/>
      <x:c r="N70" s="1"/>
      <x:c r="O70" s="1"/>
      <x:c r="P70" s="1"/>
      <x:c r="Q70" s="1"/>
    </x:row>
    <x:row r="71">
      <x:c r="A71" s="151" t="n">
        <x:v>45931</x:v>
      </x:c>
      <x:c r="B71" s="152" t="str">
        <x:v>平日</x:v>
      </x:c>
      <x:c r="C71" s="152" t="str">
        <x:v>25~34歲</x:v>
      </x:c>
      <x:c r="D71" s="40" t="n">
        <x:v>30387</x:v>
      </x:c>
      <x:c r="E71" s="40" t="n">
        <x:v>26321</x:v>
      </x:c>
      <x:c r="F71" s="153" t="n">
        <x:v>0</x:v>
      </x:c>
      <x:c r="G71" s="154" t="n">
        <x:f>SUM(D71:F71)</x:f>
        <x:v>56708</x:v>
      </x:c>
      <x:c r="H71" s="155" t="n">
        <x:f>IF(SUMIFS($D$7:$D$286,$A$7:$A$286,A71,$B$7:$B$286,B71)=0,"",D71/SUMIFS($D$7:$D$286,$A$7:$A$286,A71,$B$7:$B$286,B71))</x:f>
        <x:v>0.20713277847078793</x:v>
      </x:c>
      <x:c r="I71" s="155" t="n">
        <x:f>IF(SUMIFS($E$7:$E$286,$A$7:$A$286,A71,$B$7:$B$286,B71)=0,"",E71/SUMIFS($E$7:$E$286,$A$7:$A$286,A71,$B$7:$B$286,B71))</x:f>
        <x:v>0.2509151572926597</x:v>
      </x:c>
      <x:c r="J71" s="155" t="n">
        <x:f>IF(SUMIFS($F$7:$F$286,$A$7:$A$286,A71,$B$7:$B$286,B71)=0,"",F71/SUMIFS($F$7:$F$286,$A$7:$A$286,A71,$B$7:$B$286,B71))</x:f>
        <x:v>0</x:v>
      </x:c>
      <x:c r="K71" s="155" t="n">
        <x:f>IF(SUMIFS($G$7:$G$286,$A$7:$A$286,A71,$B$7:$B$286,B71)=0,"",G71/SUMIFS($G$7:$G$286,$A$7:$A$286,A71,$B$7:$B$286,B71))</x:f>
        <x:v>0.1370205260169379</x:v>
      </x:c>
      <x:c r="L71" s="1"/>
      <x:c r="M71" s="1"/>
      <x:c r="N71" s="1"/>
      <x:c r="O71" s="1"/>
      <x:c r="P71" s="1"/>
      <x:c r="Q71" s="1"/>
    </x:row>
    <x:row r="72">
      <x:c r="A72" s="151" t="n">
        <x:v>45931</x:v>
      </x:c>
      <x:c r="B72" s="152" t="str">
        <x:v>平日</x:v>
      </x:c>
      <x:c r="C72" s="152" t="str">
        <x:v>35~44歲</x:v>
      </x:c>
      <x:c r="D72" s="40" t="n">
        <x:v>26714</x:v>
      </x:c>
      <x:c r="E72" s="40" t="n">
        <x:v>24705</x:v>
      </x:c>
      <x:c r="F72" s="153" t="n">
        <x:v>0</x:v>
      </x:c>
      <x:c r="G72" s="154" t="n">
        <x:f>SUM(D72:F72)</x:f>
        <x:v>51419</x:v>
      </x:c>
      <x:c r="H72" s="155" t="n">
        <x:f>IF(SUMIFS($D$7:$D$286,$A$7:$A$286,A72,$B$7:$B$286,B72)=0,"",D72/SUMIFS($D$7:$D$286,$A$7:$A$286,A72,$B$7:$B$286,B72))</x:f>
        <x:v>0.18209579899524891</x:v>
      </x:c>
      <x:c r="I72" s="155" t="n">
        <x:f>IF(SUMIFS($E$7:$E$286,$A$7:$A$286,A72,$B$7:$B$286,B72)=0,"",E72/SUMIFS($E$7:$E$286,$A$7:$A$286,A72,$B$7:$B$286,B72))</x:f>
        <x:v>0.23551000953288848</x:v>
      </x:c>
      <x:c r="J72" s="155" t="n">
        <x:f>IF(SUMIFS($F$7:$F$286,$A$7:$A$286,A72,$B$7:$B$286,B72)=0,"",F72/SUMIFS($F$7:$F$286,$A$7:$A$286,A72,$B$7:$B$286,B72))</x:f>
        <x:v>0</x:v>
      </x:c>
      <x:c r="K72" s="155" t="n">
        <x:f>IF(SUMIFS($G$7:$G$286,$A$7:$A$286,A72,$B$7:$B$286,B72)=0,"",G72/SUMIFS($G$7:$G$286,$A$7:$A$286,A72,$B$7:$B$286,B72))</x:f>
        <x:v>0.12424099646019837</x:v>
      </x:c>
      <x:c r="L72" s="1"/>
      <x:c r="M72" s="1"/>
      <x:c r="N72" s="1"/>
      <x:c r="O72" s="1"/>
      <x:c r="P72" s="1"/>
      <x:c r="Q72" s="1"/>
    </x:row>
    <x:row r="73">
      <x:c r="A73" s="151" t="n">
        <x:v>45931</x:v>
      </x:c>
      <x:c r="B73" s="152" t="str">
        <x:v>平日</x:v>
      </x:c>
      <x:c r="C73" s="152" t="str">
        <x:v>45~54歲</x:v>
      </x:c>
      <x:c r="D73" s="40" t="n">
        <x:v>22557</x:v>
      </x:c>
      <x:c r="E73" s="40" t="n">
        <x:v>20239</x:v>
      </x:c>
      <x:c r="F73" s="153" t="n">
        <x:v>0</x:v>
      </x:c>
      <x:c r="G73" s="154" t="n">
        <x:f>SUM(D73:F73)</x:f>
        <x:v>42796</x:v>
      </x:c>
      <x:c r="H73" s="155" t="n">
        <x:f>IF(SUMIFS($D$7:$D$286,$A$7:$A$286,A73,$B$7:$B$286,B73)=0,"",D73/SUMIFS($D$7:$D$286,$A$7:$A$286,A73,$B$7:$B$286,B73))</x:f>
        <x:v>0.153759636817243</x:v>
      </x:c>
      <x:c r="I73" s="155" t="n">
        <x:f>IF(SUMIFS($E$7:$E$286,$A$7:$A$286,A73,$B$7:$B$286,B73)=0,"",E73/SUMIFS($E$7:$E$286,$A$7:$A$286,A73,$B$7:$B$286,B73))</x:f>
        <x:v>0.19293612964728313</x:v>
      </x:c>
      <x:c r="J73" s="155" t="n">
        <x:f>IF(SUMIFS($F$7:$F$286,$A$7:$A$286,A73,$B$7:$B$286,B73)=0,"",F73/SUMIFS($F$7:$F$286,$A$7:$A$286,A73,$B$7:$B$286,B73))</x:f>
        <x:v>0</x:v>
      </x:c>
      <x:c r="K73" s="155" t="n">
        <x:f>IF(SUMIFS($G$7:$G$286,$A$7:$A$286,A73,$B$7:$B$286,B73)=0,"",G73/SUMIFS($G$7:$G$286,$A$7:$A$286,A73,$B$7:$B$286,B73))</x:f>
        <x:v>0.10340569992630447</x:v>
      </x:c>
      <x:c r="L73" s="1"/>
      <x:c r="M73" s="1"/>
      <x:c r="N73" s="1"/>
      <x:c r="O73" s="1"/>
      <x:c r="P73" s="1"/>
      <x:c r="Q73" s="1"/>
    </x:row>
    <x:row r="74">
      <x:c r="A74" s="151" t="n">
        <x:v>45931</x:v>
      </x:c>
      <x:c r="B74" s="152" t="str">
        <x:v>平日</x:v>
      </x:c>
      <x:c r="C74" s="152" t="str">
        <x:v>55~64歲</x:v>
      </x:c>
      <x:c r="D74" s="40" t="n">
        <x:v>13696</x:v>
      </x:c>
      <x:c r="E74" s="40" t="n">
        <x:v>9918</x:v>
      </x:c>
      <x:c r="F74" s="153" t="n">
        <x:v>0</x:v>
      </x:c>
      <x:c r="G74" s="154" t="n">
        <x:f>SUM(D74:F74)</x:f>
        <x:v>23614</x:v>
      </x:c>
      <x:c r="H74" s="155" t="n">
        <x:f>IF(SUMIFS($D$7:$D$286,$A$7:$A$286,A74,$B$7:$B$286,B74)=0,"",D74/SUMIFS($D$7:$D$286,$A$7:$A$286,A74,$B$7:$B$286,B74))</x:f>
        <x:v>0.09335869068798866</x:v>
      </x:c>
      <x:c r="I74" s="155" t="n">
        <x:f>IF(SUMIFS($E$7:$E$286,$A$7:$A$286,A74,$B$7:$B$286,B74)=0,"",E74/SUMIFS($E$7:$E$286,$A$7:$A$286,A74,$B$7:$B$286,B74))</x:f>
        <x:v>0.09454718779790276</x:v>
      </x:c>
      <x:c r="J74" s="155" t="n">
        <x:f>IF(SUMIFS($F$7:$F$286,$A$7:$A$286,A74,$B$7:$B$286,B74)=0,"",F74/SUMIFS($F$7:$F$286,$A$7:$A$286,A74,$B$7:$B$286,B74))</x:f>
        <x:v>0</x:v>
      </x:c>
      <x:c r="K74" s="155" t="n">
        <x:f>IF(SUMIFS($G$7:$G$286,$A$7:$A$286,A74,$B$7:$B$286,B74)=0,"",G74/SUMIFS($G$7:$G$286,$A$7:$A$286,A74,$B$7:$B$286,B74))</x:f>
        <x:v>0.05705725296896331</x:v>
      </x:c>
      <x:c r="L74" s="1"/>
      <x:c r="M74" s="1"/>
      <x:c r="N74" s="1"/>
      <x:c r="O74" s="1"/>
      <x:c r="P74" s="1"/>
      <x:c r="Q74" s="1"/>
    </x:row>
    <x:row r="75">
      <x:c r="A75" s="151" t="n">
        <x:v>45931</x:v>
      </x:c>
      <x:c r="B75" s="152" t="str">
        <x:v>平日</x:v>
      </x:c>
      <x:c r="C75" s="152" t="str">
        <x:v>65~100歲</x:v>
      </x:c>
      <x:c r="D75" s="40" t="n">
        <x:v>23808</x:v>
      </x:c>
      <x:c r="E75" s="40" t="n">
        <x:v>7775</x:v>
      </x:c>
      <x:c r="F75" s="153" t="n">
        <x:v>0</x:v>
      </x:c>
      <x:c r="G75" s="154" t="n">
        <x:f>SUM(D75:F75)</x:f>
        <x:v>31583</x:v>
      </x:c>
      <x:c r="H75" s="155" t="n">
        <x:f>IF(SUMIFS($D$7:$D$286,$A$7:$A$286,A75,$B$7:$B$286,B75)=0,"",D75/SUMIFS($D$7:$D$286,$A$7:$A$286,A75,$B$7:$B$286,B75))</x:f>
        <x:v>0.16228706979407373</x:v>
      </x:c>
      <x:c r="I75" s="155" t="n">
        <x:f>IF(SUMIFS($E$7:$E$286,$A$7:$A$286,A75,$B$7:$B$286,B75)=0,"",E75/SUMIFS($E$7:$E$286,$A$7:$A$286,A75,$B$7:$B$286,B75))</x:f>
        <x:v>0.07411820781696854</x:v>
      </x:c>
      <x:c r="J75" s="155" t="n">
        <x:f>IF(SUMIFS($F$7:$F$286,$A$7:$A$286,A75,$B$7:$B$286,B75)=0,"",F75/SUMIFS($F$7:$F$286,$A$7:$A$286,A75,$B$7:$B$286,B75))</x:f>
        <x:v>0</x:v>
      </x:c>
      <x:c r="K75" s="155" t="n">
        <x:f>IF(SUMIFS($G$7:$G$286,$A$7:$A$286,A75,$B$7:$B$286,B75)=0,"",G75/SUMIFS($G$7:$G$286,$A$7:$A$286,A75,$B$7:$B$286,B75))</x:f>
        <x:v>0.07631232406702669</x:v>
      </x:c>
      <x:c r="L75" s="1"/>
      <x:c r="M75" s="1"/>
      <x:c r="N75" s="1"/>
      <x:c r="O75" s="1"/>
      <x:c r="P75" s="1"/>
      <x:c r="Q75" s="1"/>
    </x:row>
    <x:row r="76">
      <x:c r="A76" s="151" t="n">
        <x:v>45931</x:v>
      </x:c>
      <x:c r="B76" s="152" t="str">
        <x:v>平日</x:v>
      </x:c>
      <x:c r="C76" s="152" t="str">
        <x:v>未投保或資料有誤</x:v>
      </x:c>
      <x:c r="D76" s="40" t="n">
        <x:v>0</x:v>
      </x:c>
      <x:c r="E76" s="40" t="n">
        <x:v>0</x:v>
      </x:c>
      <x:c r="F76" s="153" t="n">
        <x:v>162262</x:v>
      </x:c>
      <x:c r="G76" s="154" t="n">
        <x:f>SUM(D76:F76)</x:f>
        <x:v>162262</x:v>
      </x:c>
      <x:c r="H76" s="155" t="n">
        <x:f>IF(SUMIFS($D$7:$D$286,$A$7:$A$286,A76,$B$7:$B$286,B76)=0,"",D76/SUMIFS($D$7:$D$286,$A$7:$A$286,A76,$B$7:$B$286,B76))</x:f>
        <x:v>0</x:v>
      </x:c>
      <x:c r="I76" s="155" t="n">
        <x:f>IF(SUMIFS($E$7:$E$286,$A$7:$A$286,A76,$B$7:$B$286,B76)=0,"",E76/SUMIFS($E$7:$E$286,$A$7:$A$286,A76,$B$7:$B$286,B76))</x:f>
        <x:v>0</x:v>
      </x:c>
      <x:c r="J76" s="155" t="n">
        <x:f>IF(SUMIFS($F$7:$F$286,$A$7:$A$286,A76,$B$7:$B$286,B76)=0,"",F76/SUMIFS($F$7:$F$286,$A$7:$A$286,A76,$B$7:$B$286,B76))</x:f>
        <x:v>1</x:v>
      </x:c>
      <x:c r="K76" s="155" t="n">
        <x:f>IF(SUMIFS($G$7:$G$286,$A$7:$A$286,A76,$B$7:$B$286,B76)=0,"",G76/SUMIFS($G$7:$G$286,$A$7:$A$286,A76,$B$7:$B$286,B76))</x:f>
        <x:v>0.3920650453650345</x:v>
      </x:c>
      <x:c r="L76" s="1"/>
      <x:c r="M76" s="1"/>
      <x:c r="N76" s="1"/>
      <x:c r="O76" s="1"/>
      <x:c r="P76" s="1"/>
      <x:c r="Q76" s="1"/>
    </x:row>
    <x:row r="77">
      <x:c r="A77" s="151" t="n">
        <x:v>45931</x:v>
      </x:c>
      <x:c r="B77" s="152" t="str">
        <x:v>假日</x:v>
      </x:c>
      <x:c r="C77" s="152" t="str">
        <x:v>08~11歲</x:v>
      </x:c>
      <x:c r="D77" s="40" t="n">
        <x:v>129</x:v>
      </x:c>
      <x:c r="E77" s="40" t="n">
        <x:v>42</x:v>
      </x:c>
      <x:c r="F77" s="153" t="n">
        <x:v>0</x:v>
      </x:c>
      <x:c r="G77" s="154" t="n">
        <x:f>SUM(D77:F77)</x:f>
        <x:v>171</x:v>
      </x:c>
      <x:c r="H77" s="155" t="n">
        <x:f>IF(SUMIFS($D$7:$D$286,$A$7:$A$286,A77,$B$7:$B$286,B77)=0,"",D77/SUMIFS($D$7:$D$286,$A$7:$A$286,A77,$B$7:$B$286,B77))</x:f>
        <x:v>0.0024782909398294015</x:v>
      </x:c>
      <x:c r="I77" s="155" t="n">
        <x:f>IF(SUMIFS($E$7:$E$286,$A$7:$A$286,A77,$B$7:$B$286,B77)=0,"",E77/SUMIFS($E$7:$E$286,$A$7:$A$286,A77,$B$7:$B$286,B77))</x:f>
        <x:v>0.001229796205200281</x:v>
      </x:c>
      <x:c r="J77" s="155" t="n">
        <x:f>IF(SUMIFS($F$7:$F$286,$A$7:$A$286,A77,$B$7:$B$286,B77)=0,"",F77/SUMIFS($F$7:$F$286,$A$7:$A$286,A77,$B$7:$B$286,B77))</x:f>
        <x:v>0</x:v>
      </x:c>
      <x:c r="K77" s="155" t="n">
        <x:f>IF(SUMIFS($G$7:$G$286,$A$7:$A$286,A77,$B$7:$B$286,B77)=0,"",G77/SUMIFS($G$7:$G$286,$A$7:$A$286,A77,$B$7:$B$286,B77))</x:f>
        <x:v>0.001175524345727897</x:v>
      </x:c>
      <x:c r="L77" s="1"/>
      <x:c r="M77" s="1"/>
      <x:c r="N77" s="1"/>
      <x:c r="O77" s="1"/>
      <x:c r="P77" s="1"/>
      <x:c r="Q77" s="1"/>
    </x:row>
    <x:row r="78">
      <x:c r="A78" s="151" t="n">
        <x:v>45931</x:v>
      </x:c>
      <x:c r="B78" s="152" t="str">
        <x:v>假日</x:v>
      </x:c>
      <x:c r="C78" s="152" t="str">
        <x:v>12~14歲</x:v>
      </x:c>
      <x:c r="D78" s="40" t="n">
        <x:v>1188</x:v>
      </x:c>
      <x:c r="E78" s="40" t="n">
        <x:v>391</x:v>
      </x:c>
      <x:c r="F78" s="153" t="n">
        <x:v>0</x:v>
      </x:c>
      <x:c r="G78" s="154" t="n">
        <x:f>SUM(D78:F78)</x:f>
        <x:v>1579</x:v>
      </x:c>
      <x:c r="H78" s="155" t="n">
        <x:f>IF(SUMIFS($D$7:$D$286,$A$7:$A$286,A78,$B$7:$B$286,B78)=0,"",D78/SUMIFS($D$7:$D$286,$A$7:$A$286,A78,$B$7:$B$286,B78))</x:f>
        <x:v>0.02282333051563821</x:v>
      </x:c>
      <x:c r="I78" s="155" t="n">
        <x:f>IF(SUMIFS($E$7:$E$286,$A$7:$A$286,A78,$B$7:$B$286,B78)=0,"",E78/SUMIFS($E$7:$E$286,$A$7:$A$286,A78,$B$7:$B$286,B78))</x:f>
        <x:v>0.011448817053174045</x:v>
      </x:c>
      <x:c r="J78" s="155" t="n">
        <x:f>IF(SUMIFS($F$7:$F$286,$A$7:$A$286,A78,$B$7:$B$286,B78)=0,"",F78/SUMIFS($F$7:$F$286,$A$7:$A$286,A78,$B$7:$B$286,B78))</x:f>
        <x:v>0</x:v>
      </x:c>
      <x:c r="K78" s="155" t="n">
        <x:f>IF(SUMIFS($G$7:$G$286,$A$7:$A$286,A78,$B$7:$B$286,B78)=0,"",G78/SUMIFS($G$7:$G$286,$A$7:$A$286,A78,$B$7:$B$286,B78))</x:f>
        <x:v>0.010854695566692102</x:v>
      </x:c>
      <x:c r="L78" s="1"/>
      <x:c r="M78" s="1"/>
      <x:c r="N78" s="1"/>
      <x:c r="O78" s="1"/>
      <x:c r="P78" s="1"/>
      <x:c r="Q78" s="1"/>
    </x:row>
    <x:row r="79">
      <x:c r="A79" s="151" t="n">
        <x:v>45931</x:v>
      </x:c>
      <x:c r="B79" s="152" t="str">
        <x:v>假日</x:v>
      </x:c>
      <x:c r="C79" s="152" t="str">
        <x:v>15~17歲</x:v>
      </x:c>
      <x:c r="D79" s="40" t="n">
        <x:v>2714</x:v>
      </x:c>
      <x:c r="E79" s="40" t="n">
        <x:v>984</x:v>
      </x:c>
      <x:c r="F79" s="153" t="n">
        <x:v>0</x:v>
      </x:c>
      <x:c r="G79" s="154" t="n">
        <x:f>SUM(D79:F79)</x:f>
        <x:v>3698</x:v>
      </x:c>
      <x:c r="H79" s="155" t="n">
        <x:f>IF(SUMIFS($D$7:$D$286,$A$7:$A$286,A79,$B$7:$B$286,B79)=0,"",D79/SUMIFS($D$7:$D$286,$A$7:$A$286,A79,$B$7:$B$286,B79))</x:f>
        <x:v>0.05214016752478291</x:v>
      </x:c>
      <x:c r="I79" s="155" t="n">
        <x:f>IF(SUMIFS($E$7:$E$286,$A$7:$A$286,A79,$B$7:$B$286,B79)=0,"",E79/SUMIFS($E$7:$E$286,$A$7:$A$286,A79,$B$7:$B$286,B79))</x:f>
        <x:v>0.02881236823612087</x:v>
      </x:c>
      <x:c r="J79" s="155" t="n">
        <x:f>IF(SUMIFS($F$7:$F$286,$A$7:$A$286,A79,$B$7:$B$286,B79)=0,"",F79/SUMIFS($F$7:$F$286,$A$7:$A$286,A79,$B$7:$B$286,B79))</x:f>
        <x:v>0</x:v>
      </x:c>
      <x:c r="K79" s="155" t="n">
        <x:f>IF(SUMIFS($G$7:$G$286,$A$7:$A$286,A79,$B$7:$B$286,B79)=0,"",G79/SUMIFS($G$7:$G$286,$A$7:$A$286,A79,$B$7:$B$286,B79))</x:f>
        <x:v>0.02542157327778809</x:v>
      </x:c>
      <x:c r="L79" s="1"/>
      <x:c r="M79" s="1"/>
      <x:c r="N79" s="1"/>
      <x:c r="O79" s="1"/>
      <x:c r="P79" s="1"/>
      <x:c r="Q79" s="1"/>
    </x:row>
    <x:row r="80">
      <x:c r="A80" s="151" t="n">
        <x:v>45931</x:v>
      </x:c>
      <x:c r="B80" s="152" t="str">
        <x:v>假日</x:v>
      </x:c>
      <x:c r="C80" s="152" t="str">
        <x:v>18~24歲</x:v>
      </x:c>
      <x:c r="D80" s="40" t="n">
        <x:v>5058</x:v>
      </x:c>
      <x:c r="E80" s="40" t="n">
        <x:v>3664</x:v>
      </x:c>
      <x:c r="F80" s="153" t="n">
        <x:v>0</x:v>
      </x:c>
      <x:c r="G80" s="154" t="n">
        <x:f>SUM(D80:F80)</x:f>
        <x:v>8722</x:v>
      </x:c>
      <x:c r="H80" s="155" t="n">
        <x:f>IF(SUMIFS($D$7:$D$286,$A$7:$A$286,A80,$B$7:$B$286,B80)=0,"",D80/SUMIFS($D$7:$D$286,$A$7:$A$286,A80,$B$7:$B$286,B80))</x:f>
        <x:v>0.09717205871052025</x:v>
      </x:c>
      <x:c r="I80" s="155" t="n">
        <x:f>IF(SUMIFS($E$7:$E$286,$A$7:$A$286,A80,$B$7:$B$286,B80)=0,"",E80/SUMIFS($E$7:$E$286,$A$7:$A$286,A80,$B$7:$B$286,B80))</x:f>
        <x:v>0.10728507847271024</x:v>
      </x:c>
      <x:c r="J80" s="155" t="n">
        <x:f>IF(SUMIFS($F$7:$F$286,$A$7:$A$286,A80,$B$7:$B$286,B80)=0,"",F80/SUMIFS($F$7:$F$286,$A$7:$A$286,A80,$B$7:$B$286,B80))</x:f>
        <x:v>0</x:v>
      </x:c>
      <x:c r="K80" s="155" t="n">
        <x:f>IF(SUMIFS($G$7:$G$286,$A$7:$A$286,A80,$B$7:$B$286,B80)=0,"",G80/SUMIFS($G$7:$G$286,$A$7:$A$286,A80,$B$7:$B$286,B80))</x:f>
        <x:v>0.05995861604350128</x:v>
      </x:c>
      <x:c r="L80" s="1"/>
      <x:c r="M80" s="1"/>
      <x:c r="N80" s="1"/>
      <x:c r="O80" s="1"/>
      <x:c r="P80" s="1"/>
      <x:c r="Q80" s="1"/>
    </x:row>
    <x:row r="81">
      <x:c r="A81" s="151" t="n">
        <x:v>45931</x:v>
      </x:c>
      <x:c r="B81" s="152" t="str">
        <x:v>假日</x:v>
      </x:c>
      <x:c r="C81" s="152" t="str">
        <x:v>25~34歲</x:v>
      </x:c>
      <x:c r="D81" s="40" t="n">
        <x:v>10686</x:v>
      </x:c>
      <x:c r="E81" s="40" t="n">
        <x:v>8000</x:v>
      </x:c>
      <x:c r="F81" s="153" t="n">
        <x:v>0</x:v>
      </x:c>
      <x:c r="G81" s="154" t="n">
        <x:f>SUM(D81:F81)</x:f>
        <x:v>18686</x:v>
      </x:c>
      <x:c r="H81" s="155" t="n">
        <x:f>IF(SUMIFS($D$7:$D$286,$A$7:$A$286,A81,$B$7:$B$286,B81)=0,"",D81/SUMIFS($D$7:$D$286,$A$7:$A$286,A81,$B$7:$B$286,B81))</x:f>
        <x:v>0.20529470529470528</x:v>
      </x:c>
      <x:c r="I81" s="155" t="n">
        <x:f>IF(SUMIFS($E$7:$E$286,$A$7:$A$286,A81,$B$7:$B$286,B81)=0,"",E81/SUMIFS($E$7:$E$286,$A$7:$A$286,A81,$B$7:$B$286,B81))</x:f>
        <x:v>0.23424689622862496</x:v>
      </x:c>
      <x:c r="J81" s="155" t="n">
        <x:f>IF(SUMIFS($F$7:$F$286,$A$7:$A$286,A81,$B$7:$B$286,B81)=0,"",F81/SUMIFS($F$7:$F$286,$A$7:$A$286,A81,$B$7:$B$286,B81))</x:f>
        <x:v>0</x:v>
      </x:c>
      <x:c r="K81" s="155" t="n">
        <x:f>IF(SUMIFS($G$7:$G$286,$A$7:$A$286,A81,$B$7:$B$286,B81)=0,"",G81/SUMIFS($G$7:$G$286,$A$7:$A$286,A81,$B$7:$B$286,B81))</x:f>
        <x:v>0.1284552510191315</x:v>
      </x:c>
      <x:c r="L81" s="1"/>
      <x:c r="M81" s="1"/>
      <x:c r="N81" s="1"/>
      <x:c r="O81" s="1"/>
      <x:c r="P81" s="1"/>
      <x:c r="Q81" s="1"/>
    </x:row>
    <x:row r="82">
      <x:c r="A82" s="151" t="n">
        <x:v>45931</x:v>
      </x:c>
      <x:c r="B82" s="152" t="str">
        <x:v>假日</x:v>
      </x:c>
      <x:c r="C82" s="152" t="str">
        <x:v>35~44歲</x:v>
      </x:c>
      <x:c r="D82" s="40" t="n">
        <x:v>9951</x:v>
      </x:c>
      <x:c r="E82" s="40" t="n">
        <x:v>7383</x:v>
      </x:c>
      <x:c r="F82" s="153" t="n">
        <x:v>0</x:v>
      </x:c>
      <x:c r="G82" s="154" t="n">
        <x:f>SUM(D82:F82)</x:f>
        <x:v>17334</x:v>
      </x:c>
      <x:c r="H82" s="155" t="n">
        <x:f>IF(SUMIFS($D$7:$D$286,$A$7:$A$286,A82,$B$7:$B$286,B82)=0,"",D82/SUMIFS($D$7:$D$286,$A$7:$A$286,A82,$B$7:$B$286,B82))</x:f>
        <x:v>0.19117421040497964</x:v>
      </x:c>
      <x:c r="I82" s="155" t="n">
        <x:f>IF(SUMIFS($E$7:$E$286,$A$7:$A$286,A82,$B$7:$B$286,B82)=0,"",E82/SUMIFS($E$7:$E$286,$A$7:$A$286,A82,$B$7:$B$286,B82))</x:f>
        <x:v>0.21618060435699227</x:v>
      </x:c>
      <x:c r="J82" s="155" t="n">
        <x:f>IF(SUMIFS($F$7:$F$286,$A$7:$A$286,A82,$B$7:$B$286,B82)=0,"",F82/SUMIFS($F$7:$F$286,$A$7:$A$286,A82,$B$7:$B$286,B82))</x:f>
        <x:v>0</x:v>
      </x:c>
      <x:c r="K82" s="155" t="n">
        <x:f>IF(SUMIFS($G$7:$G$286,$A$7:$A$286,A82,$B$7:$B$286,B82)=0,"",G82/SUMIFS($G$7:$G$286,$A$7:$A$286,A82,$B$7:$B$286,B82))</x:f>
        <x:v>0.11916104683536473</x:v>
      </x:c>
      <x:c r="L82" s="1"/>
      <x:c r="M82" s="1"/>
      <x:c r="N82" s="1"/>
      <x:c r="O82" s="1"/>
      <x:c r="P82" s="1"/>
      <x:c r="Q82" s="1"/>
    </x:row>
    <x:row r="83">
      <x:c r="A83" s="151" t="n">
        <x:v>45931</x:v>
      </x:c>
      <x:c r="B83" s="152" t="str">
        <x:v>假日</x:v>
      </x:c>
      <x:c r="C83" s="152" t="str">
        <x:v>45~54歲</x:v>
      </x:c>
      <x:c r="D83" s="40" t="n">
        <x:v>8810</x:v>
      </x:c>
      <x:c r="E83" s="40" t="n">
        <x:v>7159</x:v>
      </x:c>
      <x:c r="F83" s="153" t="n">
        <x:v>0</x:v>
      </x:c>
      <x:c r="G83" s="154" t="n">
        <x:f>SUM(D83:F83)</x:f>
        <x:v>15969</x:v>
      </x:c>
      <x:c r="H83" s="155" t="n">
        <x:f>IF(SUMIFS($D$7:$D$286,$A$7:$A$286,A83,$B$7:$B$286,B83)=0,"",D83/SUMIFS($D$7:$D$286,$A$7:$A$286,A83,$B$7:$B$286,B83))</x:f>
        <x:v>0.16925382309997694</x:v>
      </x:c>
      <x:c r="I83" s="155" t="n">
        <x:f>IF(SUMIFS($E$7:$E$286,$A$7:$A$286,A83,$B$7:$B$286,B83)=0,"",E83/SUMIFS($E$7:$E$286,$A$7:$A$286,A83,$B$7:$B$286,B83))</x:f>
        <x:v>0.20962169126259078</x:v>
      </x:c>
      <x:c r="J83" s="155" t="n">
        <x:f>IF(SUMIFS($F$7:$F$286,$A$7:$A$286,A83,$B$7:$B$286,B83)=0,"",F83/SUMIFS($F$7:$F$286,$A$7:$A$286,A83,$B$7:$B$286,B83))</x:f>
        <x:v>0</x:v>
      </x:c>
      <x:c r="K83" s="155" t="n">
        <x:f>IF(SUMIFS($G$7:$G$286,$A$7:$A$286,A83,$B$7:$B$286,B83)=0,"",G83/SUMIFS($G$7:$G$286,$A$7:$A$286,A83,$B$7:$B$286,B83))</x:f>
        <x:v>0.10977747530367712</x:v>
      </x:c>
      <x:c r="L83" s="1"/>
      <x:c r="M83" s="1"/>
      <x:c r="N83" s="1"/>
      <x:c r="O83" s="1"/>
      <x:c r="P83" s="1"/>
      <x:c r="Q83" s="1"/>
    </x:row>
    <x:row r="84">
      <x:c r="A84" s="151" t="n">
        <x:v>45931</x:v>
      </x:c>
      <x:c r="B84" s="152" t="str">
        <x:v>假日</x:v>
      </x:c>
      <x:c r="C84" s="152" t="str">
        <x:v>55~64歲</x:v>
      </x:c>
      <x:c r="D84" s="40" t="n">
        <x:v>5242</x:v>
      </x:c>
      <x:c r="E84" s="40" t="n">
        <x:v>3694</x:v>
      </x:c>
      <x:c r="F84" s="153" t="n">
        <x:v>0</x:v>
      </x:c>
      <x:c r="G84" s="154" t="n">
        <x:f>SUM(D84:F84)</x:f>
        <x:v>8936</x:v>
      </x:c>
      <x:c r="H84" s="155" t="n">
        <x:f>IF(SUMIFS($D$7:$D$286,$A$7:$A$286,A84,$B$7:$B$286,B84)=0,"",D84/SUMIFS($D$7:$D$286,$A$7:$A$286,A84,$B$7:$B$286,B84))</x:f>
        <x:v>0.10070698532236994</x:v>
      </x:c>
      <x:c r="I84" s="155" t="n">
        <x:f>IF(SUMIFS($E$7:$E$286,$A$7:$A$286,A84,$B$7:$B$286,B84)=0,"",E84/SUMIFS($E$7:$E$286,$A$7:$A$286,A84,$B$7:$B$286,B84))</x:f>
        <x:v>0.10816350433356758</x:v>
      </x:c>
      <x:c r="J84" s="155" t="n">
        <x:f>IF(SUMIFS($F$7:$F$286,$A$7:$A$286,A84,$B$7:$B$286,B84)=0,"",F84/SUMIFS($F$7:$F$286,$A$7:$A$286,A84,$B$7:$B$286,B84))</x:f>
        <x:v>0</x:v>
      </x:c>
      <x:c r="K84" s="155" t="n">
        <x:f>IF(SUMIFS($G$7:$G$286,$A$7:$A$286,A84,$B$7:$B$286,B84)=0,"",G84/SUMIFS($G$7:$G$286,$A$7:$A$286,A84,$B$7:$B$286,B84))</x:f>
        <x:v>0.061429740078505775</x:v>
      </x:c>
      <x:c r="L84" s="1"/>
      <x:c r="M84" s="1"/>
      <x:c r="N84" s="1"/>
      <x:c r="O84" s="1"/>
      <x:c r="P84" s="1"/>
      <x:c r="Q84" s="1"/>
    </x:row>
    <x:row r="85">
      <x:c r="A85" s="151" t="n">
        <x:v>45931</x:v>
      </x:c>
      <x:c r="B85" s="152" t="str">
        <x:v>假日</x:v>
      </x:c>
      <x:c r="C85" s="152" t="str">
        <x:v>65~100歲</x:v>
      </x:c>
      <x:c r="D85" s="40" t="n">
        <x:v>8274</x:v>
      </x:c>
      <x:c r="E85" s="40" t="n">
        <x:v>2835</x:v>
      </x:c>
      <x:c r="F85" s="153" t="n">
        <x:v>0</x:v>
      </x:c>
      <x:c r="G85" s="154" t="n">
        <x:f>SUM(D85:F85)</x:f>
        <x:v>11109</x:v>
      </x:c>
      <x:c r="H85" s="155" t="n">
        <x:f>IF(SUMIFS($D$7:$D$286,$A$7:$A$286,A85,$B$7:$B$286,B85)=0,"",D85/SUMIFS($D$7:$D$286,$A$7:$A$286,A85,$B$7:$B$286,B85))</x:f>
        <x:v>0.1589564281871974</x:v>
      </x:c>
      <x:c r="I85" s="155" t="n">
        <x:f>IF(SUMIFS($E$7:$E$286,$A$7:$A$286,A85,$B$7:$B$286,B85)=0,"",E85/SUMIFS($E$7:$E$286,$A$7:$A$286,A85,$B$7:$B$286,B85))</x:f>
        <x:v>0.08301124385101898</x:v>
      </x:c>
      <x:c r="J85" s="155" t="n">
        <x:f>IF(SUMIFS($F$7:$F$286,$A$7:$A$286,A85,$B$7:$B$286,B85)=0,"",F85/SUMIFS($F$7:$F$286,$A$7:$A$286,A85,$B$7:$B$286,B85))</x:f>
        <x:v>0</x:v>
      </x:c>
      <x:c r="K85" s="155" t="n">
        <x:f>IF(SUMIFS($G$7:$G$286,$A$7:$A$286,A85,$B$7:$B$286,B85)=0,"",G85/SUMIFS($G$7:$G$286,$A$7:$A$286,A85,$B$7:$B$286,B85))</x:f>
        <x:v>0.07636783600404215</x:v>
      </x:c>
      <x:c r="L85" s="1"/>
      <x:c r="M85" s="1"/>
      <x:c r="N85" s="1"/>
      <x:c r="O85" s="1"/>
      <x:c r="P85" s="1"/>
      <x:c r="Q85" s="1"/>
    </x:row>
    <x:row r="86">
      <x:c r="A86" s="151" t="n">
        <x:v>45931</x:v>
      </x:c>
      <x:c r="B86" s="152" t="str">
        <x:v>假日</x:v>
      </x:c>
      <x:c r="C86" s="152" t="str">
        <x:v>未投保或資料有誤</x:v>
      </x:c>
      <x:c r="D86" s="40" t="n">
        <x:v>0</x:v>
      </x:c>
      <x:c r="E86" s="40" t="n">
        <x:v>0</x:v>
      </x:c>
      <x:c r="F86" s="153" t="n">
        <x:v>59263</x:v>
      </x:c>
      <x:c r="G86" s="154" t="n">
        <x:f>SUM(D86:F86)</x:f>
        <x:v>59263</x:v>
      </x:c>
      <x:c r="H86" s="155" t="n">
        <x:f>IF(SUMIFS($D$7:$D$286,$A$7:$A$286,A86,$B$7:$B$286,B86)=0,"",D86/SUMIFS($D$7:$D$286,$A$7:$A$286,A86,$B$7:$B$286,B86))</x:f>
        <x:v>0</x:v>
      </x:c>
      <x:c r="I86" s="155" t="n">
        <x:f>IF(SUMIFS($E$7:$E$286,$A$7:$A$286,A86,$B$7:$B$286,B86)=0,"",E86/SUMIFS($E$7:$E$286,$A$7:$A$286,A86,$B$7:$B$286,B86))</x:f>
        <x:v>0</x:v>
      </x:c>
      <x:c r="J86" s="155" t="n">
        <x:f>IF(SUMIFS($F$7:$F$286,$A$7:$A$286,A86,$B$7:$B$286,B86)=0,"",F86/SUMIFS($F$7:$F$286,$A$7:$A$286,A86,$B$7:$B$286,B86))</x:f>
        <x:v>1</x:v>
      </x:c>
      <x:c r="K86" s="155" t="n">
        <x:f>IF(SUMIFS($G$7:$G$286,$A$7:$A$286,A86,$B$7:$B$286,B86)=0,"",G86/SUMIFS($G$7:$G$286,$A$7:$A$286,A86,$B$7:$B$286,B86))</x:f>
        <x:v>0.40739824152556936</x:v>
      </x:c>
      <x:c r="L86" s="1"/>
      <x:c r="M86" s="1"/>
      <x:c r="N86" s="1"/>
      <x:c r="O86" s="1"/>
      <x:c r="P86" s="1"/>
      <x:c r="Q86" s="1"/>
    </x:row>
    <x:row r="87">
      <x:c r="A87" s="151" t="n">
        <x:v>45962</x:v>
      </x:c>
      <x:c r="B87" s="152" t="str">
        <x:v>平日</x:v>
      </x:c>
      <x:c r="C87" s="152" t="str">
        <x:v>08~11歲</x:v>
      </x:c>
      <x:c r="D87" s="40" t="n">
        <x:v>224</x:v>
      </x:c>
      <x:c r="E87" s="40" t="n">
        <x:v>67</x:v>
      </x:c>
      <x:c r="F87" s="153" t="n">
        <x:v>0</x:v>
      </x:c>
      <x:c r="G87" s="154" t="n">
        <x:f>SUM(D87:F87)</x:f>
        <x:v>291</x:v>
      </x:c>
      <x:c r="H87" s="155" t="n">
        <x:f>IF(SUMIFS($D$7:$D$286,$A$7:$A$286,A87,$B$7:$B$286,B87)=0,"",D87/SUMIFS($D$7:$D$286,$A$7:$A$286,A87,$B$7:$B$286,B87))</x:f>
        <x:v>0.0018390502619004614</x:v>
      </x:c>
      <x:c r="I87" s="155" t="n">
        <x:f>IF(SUMIFS($E$7:$E$286,$A$7:$A$286,A87,$B$7:$B$286,B87)=0,"",E87/SUMIFS($E$7:$E$286,$A$7:$A$286,A87,$B$7:$B$286,B87))</x:f>
        <x:v>0.0007489464447400485</x:v>
      </x:c>
      <x:c r="J87" s="155" t="n">
        <x:f>IF(SUMIFS($F$7:$F$286,$A$7:$A$286,A87,$B$7:$B$286,B87)=0,"",F87/SUMIFS($F$7:$F$286,$A$7:$A$286,A87,$B$7:$B$286,B87))</x:f>
        <x:v>0</x:v>
      </x:c>
      <x:c r="K87" s="155" t="n">
        <x:f>IF(SUMIFS($G$7:$G$286,$A$7:$A$286,A87,$B$7:$B$286,B87)=0,"",G87/SUMIFS($G$7:$G$286,$A$7:$A$286,A87,$B$7:$B$286,B87))</x:f>
        <x:v>0.0008115230698439701</x:v>
      </x:c>
      <x:c r="L87" s="1"/>
      <x:c r="M87" s="1"/>
      <x:c r="N87" s="1"/>
      <x:c r="O87" s="1"/>
      <x:c r="P87" s="1"/>
      <x:c r="Q87" s="1"/>
    </x:row>
    <x:row r="88">
      <x:c r="A88" s="151" t="n">
        <x:v>45962</x:v>
      </x:c>
      <x:c r="B88" s="152" t="str">
        <x:v>平日</x:v>
      </x:c>
      <x:c r="C88" s="152" t="str">
        <x:v>12~14歲</x:v>
      </x:c>
      <x:c r="D88" s="40" t="n">
        <x:v>3236</x:v>
      </x:c>
      <x:c r="E88" s="40" t="n">
        <x:v>885</x:v>
      </x:c>
      <x:c r="F88" s="153" t="n">
        <x:v>0</x:v>
      </x:c>
      <x:c r="G88" s="154" t="n">
        <x:f>SUM(D88:F88)</x:f>
        <x:v>4121</x:v>
      </x:c>
      <x:c r="H88" s="155" t="n">
        <x:f>IF(SUMIFS($D$7:$D$286,$A$7:$A$286,A88,$B$7:$B$286,B88)=0,"",D88/SUMIFS($D$7:$D$286,$A$7:$A$286,A88,$B$7:$B$286,B88))</x:f>
        <x:v>0.026567708247812023</x:v>
      </x:c>
      <x:c r="I88" s="155" t="n">
        <x:f>IF(SUMIFS($E$7:$E$286,$A$7:$A$286,A88,$B$7:$B$286,B88)=0,"",E88/SUMIFS($E$7:$E$286,$A$7:$A$286,A88,$B$7:$B$286,B88))</x:f>
        <x:v>0.009892800053655865</x:v>
      </x:c>
      <x:c r="J88" s="155" t="n">
        <x:f>IF(SUMIFS($F$7:$F$286,$A$7:$A$286,A88,$B$7:$B$286,B88)=0,"",F88/SUMIFS($F$7:$F$286,$A$7:$A$286,A88,$B$7:$B$286,B88))</x:f>
        <x:v>0</x:v>
      </x:c>
      <x:c r="K88" s="155" t="n">
        <x:f>IF(SUMIFS($G$7:$G$286,$A$7:$A$286,A88,$B$7:$B$286,B88)=0,"",G88/SUMIFS($G$7:$G$286,$A$7:$A$286,A88,$B$7:$B$286,B88))</x:f>
        <x:v>0.011492393714182132</x:v>
      </x:c>
      <x:c r="L88" s="1"/>
      <x:c r="M88" s="1"/>
      <x:c r="N88" s="1"/>
      <x:c r="O88" s="1"/>
      <x:c r="P88" s="1"/>
      <x:c r="Q88" s="1"/>
    </x:row>
    <x:row r="89">
      <x:c r="A89" s="151" t="n">
        <x:v>45962</x:v>
      </x:c>
      <x:c r="B89" s="152" t="str">
        <x:v>平日</x:v>
      </x:c>
      <x:c r="C89" s="152" t="str">
        <x:v>15~17歲</x:v>
      </x:c>
      <x:c r="D89" s="40" t="n">
        <x:v>7911</x:v>
      </x:c>
      <x:c r="E89" s="40" t="n">
        <x:v>2343</x:v>
      </x:c>
      <x:c r="F89" s="153" t="n">
        <x:v>0</x:v>
      </x:c>
      <x:c r="G89" s="154" t="n">
        <x:f>SUM(D89:F89)</x:f>
        <x:v>10254</x:v>
      </x:c>
      <x:c r="H89" s="155" t="n">
        <x:f>IF(SUMIFS($D$7:$D$286,$A$7:$A$286,A89,$B$7:$B$286,B89)=0,"",D89/SUMIFS($D$7:$D$286,$A$7:$A$286,A89,$B$7:$B$286,B89))</x:f>
        <x:v>0.0649496724191721</x:v>
      </x:c>
      <x:c r="I89" s="155" t="n">
        <x:f>IF(SUMIFS($E$7:$E$286,$A$7:$A$286,A89,$B$7:$B$286,B89)=0,"",E89/SUMIFS($E$7:$E$286,$A$7:$A$286,A89,$B$7:$B$286,B89))</x:f>
        <x:v>0.02619076895561095</x:v>
      </x:c>
      <x:c r="J89" s="155" t="n">
        <x:f>IF(SUMIFS($F$7:$F$286,$A$7:$A$286,A89,$B$7:$B$286,B89)=0,"",F89/SUMIFS($F$7:$F$286,$A$7:$A$286,A89,$B$7:$B$286,B89))</x:f>
        <x:v>0</x:v>
      </x:c>
      <x:c r="K89" s="155" t="n">
        <x:f>IF(SUMIFS($G$7:$G$286,$A$7:$A$286,A89,$B$7:$B$286,B89)=0,"",G89/SUMIFS($G$7:$G$286,$A$7:$A$286,A89,$B$7:$B$286,B89))</x:f>
        <x:v>0.028595730440481335</x:v>
      </x:c>
      <x:c r="L89" s="1"/>
      <x:c r="M89" s="1"/>
      <x:c r="N89" s="1"/>
      <x:c r="O89" s="1"/>
      <x:c r="P89" s="1"/>
      <x:c r="Q89" s="1"/>
    </x:row>
    <x:row r="90">
      <x:c r="A90" s="151" t="n">
        <x:v>45962</x:v>
      </x:c>
      <x:c r="B90" s="152" t="str">
        <x:v>平日</x:v>
      </x:c>
      <x:c r="C90" s="152" t="str">
        <x:v>18~24歲</x:v>
      </x:c>
      <x:c r="D90" s="40" t="n">
        <x:v>13068</x:v>
      </x:c>
      <x:c r="E90" s="40" t="n">
        <x:v>9910</x:v>
      </x:c>
      <x:c r="F90" s="153" t="n">
        <x:v>0</x:v>
      </x:c>
      <x:c r="G90" s="154" t="n">
        <x:f>SUM(D90:F90)</x:f>
        <x:v>22978</x:v>
      </x:c>
      <x:c r="H90" s="155" t="n">
        <x:f>IF(SUMIFS($D$7:$D$286,$A$7:$A$286,A90,$B$7:$B$286,B90)=0,"",D90/SUMIFS($D$7:$D$286,$A$7:$A$286,A90,$B$7:$B$286,B90))</x:f>
        <x:v>0.10728887867194299</x:v>
      </x:c>
      <x:c r="I90" s="155" t="n">
        <x:f>IF(SUMIFS($E$7:$E$286,$A$7:$A$286,A90,$B$7:$B$286,B90)=0,"",E90/SUMIFS($E$7:$E$286,$A$7:$A$286,A90,$B$7:$B$286,B90))</x:f>
        <x:v>0.11077700399065493</x:v>
      </x:c>
      <x:c r="J90" s="155" t="n">
        <x:f>IF(SUMIFS($F$7:$F$286,$A$7:$A$286,A90,$B$7:$B$286,B90)=0,"",F90/SUMIFS($F$7:$F$286,$A$7:$A$286,A90,$B$7:$B$286,B90))</x:f>
        <x:v>0</x:v>
      </x:c>
      <x:c r="K90" s="155" t="n">
        <x:f>IF(SUMIFS($G$7:$G$286,$A$7:$A$286,A90,$B$7:$B$286,B90)=0,"",G90/SUMIFS($G$7:$G$286,$A$7:$A$286,A90,$B$7:$B$286,B90))</x:f>
        <x:v>0.06407964638788571</x:v>
      </x:c>
      <x:c r="L90" s="1"/>
      <x:c r="M90" s="1"/>
      <x:c r="N90" s="1"/>
      <x:c r="O90" s="1"/>
      <x:c r="P90" s="1"/>
      <x:c r="Q90" s="1"/>
    </x:row>
    <x:row r="91">
      <x:c r="A91" s="151" t="n">
        <x:v>45962</x:v>
      </x:c>
      <x:c r="B91" s="152" t="str">
        <x:v>平日</x:v>
      </x:c>
      <x:c r="C91" s="152" t="str">
        <x:v>25~34歲</x:v>
      </x:c>
      <x:c r="D91" s="40" t="n">
        <x:v>25559</x:v>
      </x:c>
      <x:c r="E91" s="40" t="n">
        <x:v>22626</x:v>
      </x:c>
      <x:c r="F91" s="153" t="n">
        <x:v>0</x:v>
      </x:c>
      <x:c r="G91" s="154" t="n">
        <x:f>SUM(D91:F91)</x:f>
        <x:v>48185</x:v>
      </x:c>
      <x:c r="H91" s="155" t="n">
        <x:f>IF(SUMIFS($D$7:$D$286,$A$7:$A$286,A91,$B$7:$B$286,B91)=0,"",D91/SUMIFS($D$7:$D$286,$A$7:$A$286,A91,$B$7:$B$286,B91))</x:f>
        <x:v>0.20984056091032988</x:v>
      </x:c>
      <x:c r="I91" s="155" t="n">
        <x:f>IF(SUMIFS($E$7:$E$286,$A$7:$A$286,A91,$B$7:$B$286,B91)=0,"",E91/SUMIFS($E$7:$E$286,$A$7:$A$286,A91,$B$7:$B$286,B91))</x:f>
        <x:v>0.25292033221922894</x:v>
      </x:c>
      <x:c r="J91" s="155" t="n">
        <x:f>IF(SUMIFS($F$7:$F$286,$A$7:$A$286,A91,$B$7:$B$286,B91)=0,"",F91/SUMIFS($F$7:$F$286,$A$7:$A$286,A91,$B$7:$B$286,B91))</x:f>
        <x:v>0</x:v>
      </x:c>
      <x:c r="K91" s="155" t="n">
        <x:f>IF(SUMIFS($G$7:$G$286,$A$7:$A$286,A91,$B$7:$B$286,B91)=0,"",G91/SUMIFS($G$7:$G$286,$A$7:$A$286,A91,$B$7:$B$286,B91))</x:f>
        <x:v>0.13437539216643193</x:v>
      </x:c>
      <x:c r="L91" s="1"/>
      <x:c r="M91" s="1"/>
      <x:c r="N91" s="1"/>
      <x:c r="O91" s="1"/>
      <x:c r="P91" s="1"/>
      <x:c r="Q91" s="1"/>
    </x:row>
    <x:row r="92">
      <x:c r="A92" s="151" t="n">
        <x:v>45962</x:v>
      </x:c>
      <x:c r="B92" s="152" t="str">
        <x:v>平日</x:v>
      </x:c>
      <x:c r="C92" s="152" t="str">
        <x:v>35~44歲</x:v>
      </x:c>
      <x:c r="D92" s="40" t="n">
        <x:v>22178</x:v>
      </x:c>
      <x:c r="E92" s="40" t="n">
        <x:v>20908</x:v>
      </x:c>
      <x:c r="F92" s="153" t="n">
        <x:v>0</x:v>
      </x:c>
      <x:c r="G92" s="154" t="n">
        <x:f>SUM(D92:F92)</x:f>
        <x:v>43086</x:v>
      </x:c>
      <x:c r="H92" s="155" t="n">
        <x:f>IF(SUMIFS($D$7:$D$286,$A$7:$A$286,A92,$B$7:$B$286,B92)=0,"",D92/SUMIFS($D$7:$D$286,$A$7:$A$286,A92,$B$7:$B$286,B92))</x:f>
        <x:v>0.18208239601976978</x:v>
      </x:c>
      <x:c r="I92" s="155" t="n">
        <x:f>IF(SUMIFS($E$7:$E$286,$A$7:$A$286,A92,$B$7:$B$286,B92)=0,"",E92/SUMIFS($E$7:$E$286,$A$7:$A$286,A92,$B$7:$B$286,B92))</x:f>
        <x:v>0.23371600397947664</x:v>
      </x:c>
      <x:c r="J92" s="155" t="n">
        <x:f>IF(SUMIFS($F$7:$F$286,$A$7:$A$286,A92,$B$7:$B$286,B92)=0,"",F92/SUMIFS($F$7:$F$286,$A$7:$A$286,A92,$B$7:$B$286,B92))</x:f>
        <x:v>0</x:v>
      </x:c>
      <x:c r="K92" s="155" t="n">
        <x:f>IF(SUMIFS($G$7:$G$286,$A$7:$A$286,A92,$B$7:$B$286,B92)=0,"",G92/SUMIFS($G$7:$G$286,$A$7:$A$286,A92,$B$7:$B$286,B92))</x:f>
        <x:v>0.12015561164019689</x:v>
      </x:c>
      <x:c r="L92" s="1"/>
      <x:c r="M92" s="1"/>
      <x:c r="N92" s="1"/>
      <x:c r="O92" s="1"/>
      <x:c r="P92" s="1"/>
      <x:c r="Q92" s="1"/>
    </x:row>
    <x:row r="93">
      <x:c r="A93" s="151" t="n">
        <x:v>45962</x:v>
      </x:c>
      <x:c r="B93" s="152" t="str">
        <x:v>平日</x:v>
      </x:c>
      <x:c r="C93" s="152" t="str">
        <x:v>45~54歲</x:v>
      </x:c>
      <x:c r="D93" s="40" t="n">
        <x:v>18343</x:v>
      </x:c>
      <x:c r="E93" s="40" t="n">
        <x:v>17398</x:v>
      </x:c>
      <x:c r="F93" s="153" t="n">
        <x:v>0</x:v>
      </x:c>
      <x:c r="G93" s="154" t="n">
        <x:f>SUM(D93:F93)</x:f>
        <x:v>35741</x:v>
      </x:c>
      <x:c r="H93" s="155" t="n">
        <x:f>IF(SUMIFS($D$7:$D$286,$A$7:$A$286,A93,$B$7:$B$286,B93)=0,"",D93/SUMIFS($D$7:$D$286,$A$7:$A$286,A93,$B$7:$B$286,B93))</x:f>
        <x:v>0.15059687033053645</x:v>
      </x:c>
      <x:c r="I93" s="155" t="n">
        <x:f>IF(SUMIFS($E$7:$E$286,$A$7:$A$286,A93,$B$7:$B$286,B93)=0,"",E93/SUMIFS($E$7:$E$286,$A$7:$A$286,A93,$B$7:$B$286,B93))</x:f>
        <x:v>0.1944801529192144</x:v>
      </x:c>
      <x:c r="J93" s="155" t="n">
        <x:f>IF(SUMIFS($F$7:$F$286,$A$7:$A$286,A93,$B$7:$B$286,B93)=0,"",F93/SUMIFS($F$7:$F$286,$A$7:$A$286,A93,$B$7:$B$286,B93))</x:f>
        <x:v>0</x:v>
      </x:c>
      <x:c r="K93" s="155" t="n">
        <x:f>IF(SUMIFS($G$7:$G$286,$A$7:$A$286,A93,$B$7:$B$286,B93)=0,"",G93/SUMIFS($G$7:$G$286,$A$7:$A$286,A93,$B$7:$B$286,B93))</x:f>
        <x:v>0.09967232315908361</x:v>
      </x:c>
      <x:c r="L93" s="1"/>
      <x:c r="M93" s="1"/>
      <x:c r="N93" s="1"/>
      <x:c r="O93" s="1"/>
      <x:c r="P93" s="1"/>
      <x:c r="Q93" s="1"/>
    </x:row>
    <x:row r="94">
      <x:c r="A94" s="151" t="n">
        <x:v>45962</x:v>
      </x:c>
      <x:c r="B94" s="152" t="str">
        <x:v>平日</x:v>
      </x:c>
      <x:c r="C94" s="152" t="str">
        <x:v>55~64歲</x:v>
      </x:c>
      <x:c r="D94" s="40" t="n">
        <x:v>11440</x:v>
      </x:c>
      <x:c r="E94" s="40" t="n">
        <x:v>8631</x:v>
      </x:c>
      <x:c r="F94" s="153" t="n">
        <x:v>0</x:v>
      </x:c>
      <x:c r="G94" s="154" t="n">
        <x:f>SUM(D94:F94)</x:f>
        <x:v>20071</x:v>
      </x:c>
      <x:c r="H94" s="155" t="n">
        <x:f>IF(SUMIFS($D$7:$D$286,$A$7:$A$286,A94,$B$7:$B$286,B94)=0,"",D94/SUMIFS($D$7:$D$286,$A$7:$A$286,A94,$B$7:$B$286,B94))</x:f>
        <x:v>0.09392292408991643</x:v>
      </x:c>
      <x:c r="I94" s="155" t="n">
        <x:f>IF(SUMIFS($E$7:$E$286,$A$7:$A$286,A94,$B$7:$B$286,B94)=0,"",E94/SUMIFS($E$7:$E$286,$A$7:$A$286,A94,$B$7:$B$286,B94))</x:f>
        <x:v>0.09647995170972178</x:v>
      </x:c>
      <x:c r="J94" s="155" t="n">
        <x:f>IF(SUMIFS($F$7:$F$286,$A$7:$A$286,A94,$B$7:$B$286,B94)=0,"",F94/SUMIFS($F$7:$F$286,$A$7:$A$286,A94,$B$7:$B$286,B94))</x:f>
        <x:v>0</x:v>
      </x:c>
      <x:c r="K94" s="155" t="n">
        <x:f>IF(SUMIFS($G$7:$G$286,$A$7:$A$286,A94,$B$7:$B$286,B94)=0,"",G94/SUMIFS($G$7:$G$286,$A$7:$A$286,A94,$B$7:$B$286,B94))</x:f>
        <x:v>0.055972781906660905</x:v>
      </x:c>
      <x:c r="L94" s="1"/>
      <x:c r="M94" s="1"/>
      <x:c r="N94" s="1"/>
      <x:c r="O94" s="1"/>
      <x:c r="P94" s="1"/>
      <x:c r="Q94" s="1"/>
    </x:row>
    <x:row r="95">
      <x:c r="A95" s="151" t="n">
        <x:v>45962</x:v>
      </x:c>
      <x:c r="B95" s="152" t="str">
        <x:v>平日</x:v>
      </x:c>
      <x:c r="C95" s="152" t="str">
        <x:v>65~100歲</x:v>
      </x:c>
      <x:c r="D95" s="40" t="n">
        <x:v>19843</x:v>
      </x:c>
      <x:c r="E95" s="40" t="n">
        <x:v>6691</x:v>
      </x:c>
      <x:c r="F95" s="153" t="n">
        <x:v>0</x:v>
      </x:c>
      <x:c r="G95" s="154" t="n">
        <x:f>SUM(D95:F95)</x:f>
        <x:v>26534</x:v>
      </x:c>
      <x:c r="H95" s="155" t="n">
        <x:f>IF(SUMIFS($D$7:$D$286,$A$7:$A$286,A95,$B$7:$B$286,B95)=0,"",D95/SUMIFS($D$7:$D$286,$A$7:$A$286,A95,$B$7:$B$286,B95))</x:f>
        <x:v>0.1629119390486199</x:v>
      </x:c>
      <x:c r="I95" s="155" t="n">
        <x:f>IF(SUMIFS($E$7:$E$286,$A$7:$A$286,A95,$B$7:$B$286,B95)=0,"",E95/SUMIFS($E$7:$E$286,$A$7:$A$286,A95,$B$7:$B$286,B95))</x:f>
        <x:v>0.07479403972769649</x:v>
      </x:c>
      <x:c r="J95" s="155" t="n">
        <x:f>IF(SUMIFS($F$7:$F$286,$A$7:$A$286,A95,$B$7:$B$286,B95)=0,"",F95/SUMIFS($F$7:$F$286,$A$7:$A$286,A95,$B$7:$B$286,B95))</x:f>
        <x:v>0</x:v>
      </x:c>
      <x:c r="K95" s="155" t="n">
        <x:f>IF(SUMIFS($G$7:$G$286,$A$7:$A$286,A95,$B$7:$B$286,B95)=0,"",G95/SUMIFS($G$7:$G$286,$A$7:$A$286,A95,$B$7:$B$286,B95))</x:f>
        <x:v>0.0739964025265976</x:v>
      </x:c>
      <x:c r="L95" s="1"/>
      <x:c r="M95" s="1"/>
      <x:c r="N95" s="1"/>
      <x:c r="O95" s="1"/>
      <x:c r="P95" s="1"/>
      <x:c r="Q95" s="1"/>
    </x:row>
    <x:row r="96">
      <x:c r="A96" s="151" t="n">
        <x:v>45962</x:v>
      </x:c>
      <x:c r="B96" s="152" t="str">
        <x:v>平日</x:v>
      </x:c>
      <x:c r="C96" s="152" t="str">
        <x:v>未投保或資料有誤</x:v>
      </x:c>
      <x:c r="D96" s="40" t="n">
        <x:v>0</x:v>
      </x:c>
      <x:c r="E96" s="40" t="n">
        <x:v>0</x:v>
      </x:c>
      <x:c r="F96" s="153" t="n">
        <x:v>147324</x:v>
      </x:c>
      <x:c r="G96" s="154" t="n">
        <x:f>SUM(D96:F96)</x:f>
        <x:v>147324</x:v>
      </x:c>
      <x:c r="H96" s="155" t="n">
        <x:f>IF(SUMIFS($D$7:$D$286,$A$7:$A$286,A96,$B$7:$B$286,B96)=0,"",D96/SUMIFS($D$7:$D$286,$A$7:$A$286,A96,$B$7:$B$286,B96))</x:f>
        <x:v>0</x:v>
      </x:c>
      <x:c r="I96" s="155" t="n">
        <x:f>IF(SUMIFS($E$7:$E$286,$A$7:$A$286,A96,$B$7:$B$286,B96)=0,"",E96/SUMIFS($E$7:$E$286,$A$7:$A$286,A96,$B$7:$B$286,B96))</x:f>
        <x:v>0</x:v>
      </x:c>
      <x:c r="J96" s="155" t="n">
        <x:f>IF(SUMIFS($F$7:$F$286,$A$7:$A$286,A96,$B$7:$B$286,B96)=0,"",F96/SUMIFS($F$7:$F$286,$A$7:$A$286,A96,$B$7:$B$286,B96))</x:f>
        <x:v>1</x:v>
      </x:c>
      <x:c r="K96" s="155" t="n">
        <x:f>IF(SUMIFS($G$7:$G$286,$A$7:$A$286,A96,$B$7:$B$286,B96)=0,"",G96/SUMIFS($G$7:$G$286,$A$7:$A$286,A96,$B$7:$B$286,B96))</x:f>
        <x:v>0.4108481949886359</x:v>
      </x:c>
      <x:c r="L96" s="1"/>
      <x:c r="M96" s="1"/>
      <x:c r="N96" s="1"/>
      <x:c r="O96" s="1"/>
      <x:c r="P96" s="1"/>
      <x:c r="Q96" s="1"/>
    </x:row>
    <x:row r="97">
      <x:c r="A97" s="151" t="n">
        <x:v>45962</x:v>
      </x:c>
      <x:c r="B97" s="152" t="str">
        <x:v>假日</x:v>
      </x:c>
      <x:c r="C97" s="152" t="str">
        <x:v>08~11歲</x:v>
      </x:c>
      <x:c r="D97" s="40" t="n">
        <x:v>224</x:v>
      </x:c>
      <x:c r="E97" s="40" t="n">
        <x:v>75</x:v>
      </x:c>
      <x:c r="F97" s="153" t="n">
        <x:v>0</x:v>
      </x:c>
      <x:c r="G97" s="154" t="n">
        <x:f>SUM(D97:F97)</x:f>
        <x:v>299</x:v>
      </x:c>
      <x:c r="H97" s="155" t="n">
        <x:f>IF(SUMIFS($D$7:$D$286,$A$7:$A$286,A97,$B$7:$B$286,B97)=0,"",D97/SUMIFS($D$7:$D$286,$A$7:$A$286,A97,$B$7:$B$286,B97))</x:f>
        <x:v>0.0029845973458402174</x:v>
      </x:c>
      <x:c r="I97" s="155" t="n">
        <x:f>IF(SUMIFS($E$7:$E$286,$A$7:$A$286,A97,$B$7:$B$286,B97)=0,"",E97/SUMIFS($E$7:$E$286,$A$7:$A$286,A97,$B$7:$B$286,B97))</x:f>
        <x:v>0.0014318715515760133</x:v>
      </x:c>
      <x:c r="J97" s="155" t="n">
        <x:f>IF(SUMIFS($F$7:$F$286,$A$7:$A$286,A97,$B$7:$B$286,B97)=0,"",F97/SUMIFS($F$7:$F$286,$A$7:$A$286,A97,$B$7:$B$286,B97))</x:f>
        <x:v>0</x:v>
      </x:c>
      <x:c r="K97" s="155" t="n">
        <x:f>IF(SUMIFS($G$7:$G$286,$A$7:$A$286,A97,$B$7:$B$286,B97)=0,"",G97/SUMIFS($G$7:$G$286,$A$7:$A$286,A97,$B$7:$B$286,B97))</x:f>
        <x:v>0.001354277069688652</x:v>
      </x:c>
      <x:c r="L97" s="1"/>
      <x:c r="M97" s="1"/>
      <x:c r="N97" s="1"/>
      <x:c r="O97" s="1"/>
      <x:c r="P97" s="1"/>
      <x:c r="Q97" s="1"/>
    </x:row>
    <x:row r="98">
      <x:c r="A98" s="151" t="n">
        <x:v>45962</x:v>
      </x:c>
      <x:c r="B98" s="152" t="str">
        <x:v>假日</x:v>
      </x:c>
      <x:c r="C98" s="152" t="str">
        <x:v>12~14歲</x:v>
      </x:c>
      <x:c r="D98" s="40" t="n">
        <x:v>1723</x:v>
      </x:c>
      <x:c r="E98" s="40" t="n">
        <x:v>583</x:v>
      </x:c>
      <x:c r="F98" s="153" t="n">
        <x:v>0</x:v>
      </x:c>
      <x:c r="G98" s="154" t="n">
        <x:f>SUM(D98:F98)</x:f>
        <x:v>2306</x:v>
      </x:c>
      <x:c r="H98" s="155" t="n">
        <x:f>IF(SUMIFS($D$7:$D$286,$A$7:$A$286,A98,$B$7:$B$286,B98)=0,"",D98/SUMIFS($D$7:$D$286,$A$7:$A$286,A98,$B$7:$B$286,B98))</x:f>
        <x:v>0.0229574161914406</x:v>
      </x:c>
      <x:c r="I98" s="155" t="n">
        <x:f>IF(SUMIFS($E$7:$E$286,$A$7:$A$286,A98,$B$7:$B$286,B98)=0,"",E98/SUMIFS($E$7:$E$286,$A$7:$A$286,A98,$B$7:$B$286,B98))</x:f>
        <x:v>0.011130414860917544</x:v>
      </x:c>
      <x:c r="J98" s="155" t="n">
        <x:f>IF(SUMIFS($F$7:$F$286,$A$7:$A$286,A98,$B$7:$B$286,B98)=0,"",F98/SUMIFS($F$7:$F$286,$A$7:$A$286,A98,$B$7:$B$286,B98))</x:f>
        <x:v>0</x:v>
      </x:c>
      <x:c r="K98" s="155" t="n">
        <x:f>IF(SUMIFS($G$7:$G$286,$A$7:$A$286,A98,$B$7:$B$286,B98)=0,"",G98/SUMIFS($G$7:$G$286,$A$7:$A$286,A98,$B$7:$B$286,B98))</x:f>
        <x:v>0.010444692049170675</x:v>
      </x:c>
      <x:c r="L98" s="1"/>
      <x:c r="M98" s="1"/>
      <x:c r="N98" s="1"/>
      <x:c r="O98" s="1"/>
      <x:c r="P98" s="1"/>
      <x:c r="Q98" s="1"/>
    </x:row>
    <x:row r="99">
      <x:c r="A99" s="151" t="n">
        <x:v>45962</x:v>
      </x:c>
      <x:c r="B99" s="152" t="str">
        <x:v>假日</x:v>
      </x:c>
      <x:c r="C99" s="152" t="str">
        <x:v>15~17歲</x:v>
      </x:c>
      <x:c r="D99" s="40" t="n">
        <x:v>3651</x:v>
      </x:c>
      <x:c r="E99" s="40" t="n">
        <x:v>1326</x:v>
      </x:c>
      <x:c r="F99" s="153" t="n">
        <x:v>0</x:v>
      </x:c>
      <x:c r="G99" s="154" t="n">
        <x:f>SUM(D99:F99)</x:f>
        <x:v>4977</x:v>
      </x:c>
      <x:c r="H99" s="155" t="n">
        <x:f>IF(SUMIFS($D$7:$D$286,$A$7:$A$286,A99,$B$7:$B$286,B99)=0,"",D99/SUMIFS($D$7:$D$286,$A$7:$A$286,A99,$B$7:$B$286,B99))</x:f>
        <x:v>0.04864627191813676</x:v>
      </x:c>
      <x:c r="I99" s="155" t="n">
        <x:f>IF(SUMIFS($E$7:$E$286,$A$7:$A$286,A99,$B$7:$B$286,B99)=0,"",E99/SUMIFS($E$7:$E$286,$A$7:$A$286,A99,$B$7:$B$286,B99))</x:f>
        <x:v>0.025315489031863914</x:v>
      </x:c>
      <x:c r="J99" s="155" t="n">
        <x:f>IF(SUMIFS($F$7:$F$286,$A$7:$A$286,A99,$B$7:$B$286,B99)=0,"",F99/SUMIFS($F$7:$F$286,$A$7:$A$286,A99,$B$7:$B$286,B99))</x:f>
        <x:v>0</x:v>
      </x:c>
      <x:c r="K99" s="155" t="n">
        <x:f>IF(SUMIFS($G$7:$G$286,$A$7:$A$286,A99,$B$7:$B$286,B99)=0,"",G99/SUMIFS($G$7:$G$286,$A$7:$A$286,A99,$B$7:$B$286,B99))</x:f>
        <x:v>0.022542598581406094</x:v>
      </x:c>
      <x:c r="L99" s="1"/>
      <x:c r="M99" s="1"/>
      <x:c r="N99" s="1"/>
      <x:c r="O99" s="1"/>
      <x:c r="P99" s="1"/>
      <x:c r="Q99" s="1"/>
    </x:row>
    <x:row r="100">
      <x:c r="A100" s="151" t="n">
        <x:v>45962</x:v>
      </x:c>
      <x:c r="B100" s="152" t="str">
        <x:v>假日</x:v>
      </x:c>
      <x:c r="C100" s="152" t="str">
        <x:v>18~24歲</x:v>
      </x:c>
      <x:c r="D100" s="40" t="n">
        <x:v>6928</x:v>
      </x:c>
      <x:c r="E100" s="40" t="n">
        <x:v>5220</x:v>
      </x:c>
      <x:c r="F100" s="153" t="n">
        <x:v>0</x:v>
      </x:c>
      <x:c r="G100" s="154" t="n">
        <x:f>SUM(D100:F100)</x:f>
        <x:v>12148</x:v>
      </x:c>
      <x:c r="H100" s="155" t="n">
        <x:f>IF(SUMIFS($D$7:$D$286,$A$7:$A$286,A100,$B$7:$B$286,B100)=0,"",D100/SUMIFS($D$7:$D$286,$A$7:$A$286,A100,$B$7:$B$286,B100))</x:f>
        <x:v>0.09230933219634387</x:v>
      </x:c>
      <x:c r="I100" s="155" t="n">
        <x:f>IF(SUMIFS($E$7:$E$286,$A$7:$A$286,A100,$B$7:$B$286,B100)=0,"",E100/SUMIFS($E$7:$E$286,$A$7:$A$286,A100,$B$7:$B$286,B100))</x:f>
        <x:v>0.09965825998969052</x:v>
      </x:c>
      <x:c r="J100" s="155" t="n">
        <x:f>IF(SUMIFS($F$7:$F$286,$A$7:$A$286,A100,$B$7:$B$286,B100)=0,"",F100/SUMIFS($F$7:$F$286,$A$7:$A$286,A100,$B$7:$B$286,B100))</x:f>
        <x:v>0</x:v>
      </x:c>
      <x:c r="K100" s="155" t="n">
        <x:f>IF(SUMIFS($G$7:$G$286,$A$7:$A$286,A100,$B$7:$B$286,B100)=0,"",G100/SUMIFS($G$7:$G$286,$A$7:$A$286,A100,$B$7:$B$286,B100))</x:f>
        <x:v>0.05502260148019313</x:v>
      </x:c>
      <x:c r="L100" s="1"/>
      <x:c r="M100" s="1"/>
      <x:c r="N100" s="1"/>
      <x:c r="O100" s="1"/>
      <x:c r="P100" s="1"/>
      <x:c r="Q100" s="1"/>
    </x:row>
    <x:row r="101">
      <x:c r="A101" s="151" t="n">
        <x:v>45962</x:v>
      </x:c>
      <x:c r="B101" s="152" t="str">
        <x:v>假日</x:v>
      </x:c>
      <x:c r="C101" s="152" t="str">
        <x:v>25~34歲</x:v>
      </x:c>
      <x:c r="D101" s="40" t="n">
        <x:v>15060</x:v>
      </x:c>
      <x:c r="E101" s="40" t="n">
        <x:v>12026</x:v>
      </x:c>
      <x:c r="F101" s="153" t="n">
        <x:v>0</x:v>
      </x:c>
      <x:c r="G101" s="154" t="n">
        <x:f>SUM(D101:F101)</x:f>
        <x:v>27086</x:v>
      </x:c>
      <x:c r="H101" s="155" t="n">
        <x:f>IF(SUMIFS($D$7:$D$286,$A$7:$A$286,A101,$B$7:$B$286,B101)=0,"",D101/SUMIFS($D$7:$D$286,$A$7:$A$286,A101,$B$7:$B$286,B101))</x:f>
        <x:v>0.2006608751265789</x:v>
      </x:c>
      <x:c r="I101" s="155" t="n">
        <x:f>IF(SUMIFS($E$7:$E$286,$A$7:$A$286,A101,$B$7:$B$286,B101)=0,"",E101/SUMIFS($E$7:$E$286,$A$7:$A$286,A101,$B$7:$B$286,B101))</x:f>
        <x:v>0.2295958303900418</x:v>
      </x:c>
      <x:c r="J101" s="155" t="n">
        <x:f>IF(SUMIFS($F$7:$F$286,$A$7:$A$286,A101,$B$7:$B$286,B101)=0,"",F101/SUMIFS($F$7:$F$286,$A$7:$A$286,A101,$B$7:$B$286,B101))</x:f>
        <x:v>0</x:v>
      </x:c>
      <x:c r="K101" s="155" t="n">
        <x:f>IF(SUMIFS($G$7:$G$286,$A$7:$A$286,A101,$B$7:$B$286,B101)=0,"",G101/SUMIFS($G$7:$G$286,$A$7:$A$286,A101,$B$7:$B$286,B101))</x:f>
        <x:v>0.12268210270764827</x:v>
      </x:c>
      <x:c r="L101" s="1"/>
      <x:c r="M101" s="1"/>
      <x:c r="N101" s="1"/>
      <x:c r="O101" s="1"/>
      <x:c r="P101" s="1"/>
      <x:c r="Q101" s="1"/>
    </x:row>
    <x:row r="102">
      <x:c r="A102" s="151" t="n">
        <x:v>45962</x:v>
      </x:c>
      <x:c r="B102" s="152" t="str">
        <x:v>假日</x:v>
      </x:c>
      <x:c r="C102" s="152" t="str">
        <x:v>35~44歲</x:v>
      </x:c>
      <x:c r="D102" s="40" t="n">
        <x:v>14058</x:v>
      </x:c>
      <x:c r="E102" s="40" t="n">
        <x:v>11385</x:v>
      </x:c>
      <x:c r="F102" s="153" t="n">
        <x:v>0</x:v>
      </x:c>
      <x:c r="G102" s="154" t="n">
        <x:f>SUM(D102:F102)</x:f>
        <x:v>25443</x:v>
      </x:c>
      <x:c r="H102" s="155" t="n">
        <x:f>IF(SUMIFS($D$7:$D$286,$A$7:$A$286,A102,$B$7:$B$286,B102)=0,"",D102/SUMIFS($D$7:$D$286,$A$7:$A$286,A102,$B$7:$B$286,B102))</x:f>
        <x:v>0.1873101316420615</x:v>
      </x:c>
      <x:c r="I102" s="155" t="n">
        <x:f>IF(SUMIFS($E$7:$E$286,$A$7:$A$286,A102,$B$7:$B$286,B102)=0,"",E102/SUMIFS($E$7:$E$286,$A$7:$A$286,A102,$B$7:$B$286,B102))</x:f>
        <x:v>0.21735810152923882</x:v>
      </x:c>
      <x:c r="J102" s="155" t="n">
        <x:f>IF(SUMIFS($F$7:$F$286,$A$7:$A$286,A102,$B$7:$B$286,B102)=0,"",F102/SUMIFS($F$7:$F$286,$A$7:$A$286,A102,$B$7:$B$286,B102))</x:f>
        <x:v>0</x:v>
      </x:c>
      <x:c r="K102" s="155" t="n">
        <x:f>IF(SUMIFS($G$7:$G$286,$A$7:$A$286,A102,$B$7:$B$286,B102)=0,"",G102/SUMIFS($G$7:$G$286,$A$7:$A$286,A102,$B$7:$B$286,B102))</x:f>
        <x:v>0.11524037285648286</x:v>
      </x:c>
      <x:c r="L102" s="1"/>
      <x:c r="M102" s="1"/>
      <x:c r="N102" s="1"/>
      <x:c r="O102" s="1"/>
      <x:c r="P102" s="1"/>
      <x:c r="Q102" s="1"/>
    </x:row>
    <x:row r="103">
      <x:c r="A103" s="151" t="n">
        <x:v>45962</x:v>
      </x:c>
      <x:c r="B103" s="152" t="str">
        <x:v>假日</x:v>
      </x:c>
      <x:c r="C103" s="152" t="str">
        <x:v>45~54歲</x:v>
      </x:c>
      <x:c r="D103" s="40" t="n">
        <x:v>12641</x:v>
      </x:c>
      <x:c r="E103" s="40" t="n">
        <x:v>11576</x:v>
      </x:c>
      <x:c r="F103" s="153" t="n">
        <x:v>0</x:v>
      </x:c>
      <x:c r="G103" s="154" t="n">
        <x:f>SUM(D103:F103)</x:f>
        <x:v>24217</x:v>
      </x:c>
      <x:c r="H103" s="155" t="n">
        <x:f>IF(SUMIFS($D$7:$D$286,$A$7:$A$286,A103,$B$7:$B$286,B103)=0,"",D103/SUMIFS($D$7:$D$286,$A$7:$A$286,A103,$B$7:$B$286,B103))</x:f>
        <x:v>0.16842988861056335</x:v>
      </x:c>
      <x:c r="I103" s="155" t="n">
        <x:f>IF(SUMIFS($E$7:$E$286,$A$7:$A$286,A103,$B$7:$B$286,B103)=0,"",E103/SUMIFS($E$7:$E$286,$A$7:$A$286,A103,$B$7:$B$286,B103))</x:f>
        <x:v>0.22100460108058573</x:v>
      </x:c>
      <x:c r="J103" s="155" t="n">
        <x:f>IF(SUMIFS($F$7:$F$286,$A$7:$A$286,A103,$B$7:$B$286,B103)=0,"",F103/SUMIFS($F$7:$F$286,$A$7:$A$286,A103,$B$7:$B$286,B103))</x:f>
        <x:v>0</x:v>
      </x:c>
      <x:c r="K103" s="155" t="n">
        <x:f>IF(SUMIFS($G$7:$G$286,$A$7:$A$286,A103,$B$7:$B$286,B103)=0,"",G103/SUMIFS($G$7:$G$286,$A$7:$A$286,A103,$B$7:$B$286,B103))</x:f>
        <x:v>0.10968738393528459</x:v>
      </x:c>
      <x:c r="L103" s="1"/>
      <x:c r="M103" s="1"/>
      <x:c r="N103" s="1"/>
      <x:c r="O103" s="1"/>
      <x:c r="P103" s="1"/>
      <x:c r="Q103" s="1"/>
    </x:row>
    <x:row r="104">
      <x:c r="A104" s="151" t="n">
        <x:v>45962</x:v>
      </x:c>
      <x:c r="B104" s="152" t="str">
        <x:v>假日</x:v>
      </x:c>
      <x:c r="C104" s="152" t="str">
        <x:v>55~64歲</x:v>
      </x:c>
      <x:c r="D104" s="40" t="n">
        <x:v>7685</x:v>
      </x:c>
      <x:c r="E104" s="40" t="n">
        <x:v>5730</x:v>
      </x:c>
      <x:c r="F104" s="153" t="n">
        <x:v>0</x:v>
      </x:c>
      <x:c r="G104" s="154" t="n">
        <x:f>SUM(D104:F104)</x:f>
        <x:v>13415</x:v>
      </x:c>
      <x:c r="H104" s="155" t="n">
        <x:f>IF(SUMIFS($D$7:$D$286,$A$7:$A$286,A104,$B$7:$B$286,B104)=0,"",D104/SUMIFS($D$7:$D$286,$A$7:$A$286,A104,$B$7:$B$286,B104))</x:f>
        <x:v>0.10239567233384853</x:v>
      </x:c>
      <x:c r="I104" s="155" t="n">
        <x:f>IF(SUMIFS($E$7:$E$286,$A$7:$A$286,A104,$B$7:$B$286,B104)=0,"",E104/SUMIFS($E$7:$E$286,$A$7:$A$286,A104,$B$7:$B$286,B104))</x:f>
        <x:v>0.10939498654040741</x:v>
      </x:c>
      <x:c r="J104" s="155" t="n">
        <x:f>IF(SUMIFS($F$7:$F$286,$A$7:$A$286,A104,$B$7:$B$286,B104)=0,"",F104/SUMIFS($F$7:$F$286,$A$7:$A$286,A104,$B$7:$B$286,B104))</x:f>
        <x:v>0</x:v>
      </x:c>
      <x:c r="K104" s="155" t="n">
        <x:f>IF(SUMIFS($G$7:$G$286,$A$7:$A$286,A104,$B$7:$B$286,B104)=0,"",G104/SUMIFS($G$7:$G$286,$A$7:$A$286,A104,$B$7:$B$286,B104))</x:f>
        <x:v>0.06076129394606444</x:v>
      </x:c>
      <x:c r="L104" s="1"/>
      <x:c r="M104" s="1"/>
      <x:c r="N104" s="1"/>
      <x:c r="O104" s="1"/>
      <x:c r="P104" s="1"/>
      <x:c r="Q104" s="1"/>
    </x:row>
    <x:row r="105">
      <x:c r="A105" s="151" t="n">
        <x:v>45962</x:v>
      </x:c>
      <x:c r="B105" s="152" t="str">
        <x:v>假日</x:v>
      </x:c>
      <x:c r="C105" s="152" t="str">
        <x:v>65~100歲</x:v>
      </x:c>
      <x:c r="D105" s="40" t="n">
        <x:v>13082</x:v>
      </x:c>
      <x:c r="E105" s="40" t="n">
        <x:v>4458</x:v>
      </x:c>
      <x:c r="F105" s="153" t="n">
        <x:v>0</x:v>
      </x:c>
      <x:c r="G105" s="154" t="n">
        <x:f>SUM(D105:F105)</x:f>
        <x:v>17540</x:v>
      </x:c>
      <x:c r="H105" s="155" t="n">
        <x:f>IF(SUMIFS($D$7:$D$286,$A$7:$A$286,A105,$B$7:$B$286,B105)=0,"",D105/SUMIFS($D$7:$D$286,$A$7:$A$286,A105,$B$7:$B$286,B105))</x:f>
        <x:v>0.17430581463518627</x:v>
      </x:c>
      <x:c r="I105" s="155" t="n">
        <x:f>IF(SUMIFS($E$7:$E$286,$A$7:$A$286,A105,$B$7:$B$286,B105)=0,"",E105/SUMIFS($E$7:$E$286,$A$7:$A$286,A105,$B$7:$B$286,B105))</x:f>
        <x:v>0.08511044502567823</x:v>
      </x:c>
      <x:c r="J105" s="155" t="n">
        <x:f>IF(SUMIFS($F$7:$F$286,$A$7:$A$286,A105,$B$7:$B$286,B105)=0,"",F105/SUMIFS($F$7:$F$286,$A$7:$A$286,A105,$B$7:$B$286,B105))</x:f>
        <x:v>0</x:v>
      </x:c>
      <x:c r="K105" s="155" t="n">
        <x:f>IF(SUMIFS($G$7:$G$286,$A$7:$A$286,A105,$B$7:$B$286,B105)=0,"",G105/SUMIFS($G$7:$G$286,$A$7:$A$286,A105,$B$7:$B$286,B105))</x:f>
        <x:v>0.0794448822820701</x:v>
      </x:c>
      <x:c r="L105" s="1"/>
      <x:c r="M105" s="1"/>
      <x:c r="N105" s="1"/>
      <x:c r="O105" s="1"/>
      <x:c r="P105" s="1"/>
      <x:c r="Q105" s="1"/>
    </x:row>
    <x:row r="106">
      <x:c r="A106" s="151" t="n">
        <x:v>45962</x:v>
      </x:c>
      <x:c r="B106" s="152" t="str">
        <x:v>假日</x:v>
      </x:c>
      <x:c r="C106" s="152" t="str">
        <x:v>未投保或資料有誤</x:v>
      </x:c>
      <x:c r="D106" s="40" t="n">
        <x:v>0</x:v>
      </x:c>
      <x:c r="E106" s="40" t="n">
        <x:v>0</x:v>
      </x:c>
      <x:c r="F106" s="153" t="n">
        <x:v>93351</x:v>
      </x:c>
      <x:c r="G106" s="154" t="n">
        <x:f>SUM(D106:F106)</x:f>
        <x:v>93351</x:v>
      </x:c>
      <x:c r="H106" s="155" t="n">
        <x:f>IF(SUMIFS($D$7:$D$286,$A$7:$A$286,A106,$B$7:$B$286,B106)=0,"",D106/SUMIFS($D$7:$D$286,$A$7:$A$286,A106,$B$7:$B$286,B106))</x:f>
        <x:v>0</x:v>
      </x:c>
      <x:c r="I106" s="155" t="n">
        <x:f>IF(SUMIFS($E$7:$E$286,$A$7:$A$286,A106,$B$7:$B$286,B106)=0,"",E106/SUMIFS($E$7:$E$286,$A$7:$A$286,A106,$B$7:$B$286,B106))</x:f>
        <x:v>0</x:v>
      </x:c>
      <x:c r="J106" s="155" t="n">
        <x:f>IF(SUMIFS($F$7:$F$286,$A$7:$A$286,A106,$B$7:$B$286,B106)=0,"",F106/SUMIFS($F$7:$F$286,$A$7:$A$286,A106,$B$7:$B$286,B106))</x:f>
        <x:v>1</x:v>
      </x:c>
      <x:c r="K106" s="155" t="n">
        <x:f>IF(SUMIFS($G$7:$G$286,$A$7:$A$286,A106,$B$7:$B$286,B106)=0,"",G106/SUMIFS($G$7:$G$286,$A$7:$A$286,A106,$B$7:$B$286,B106))</x:f>
        <x:v>0.4228197950919912</x:v>
      </x:c>
      <x:c r="L106" s="1"/>
      <x:c r="M106" s="1"/>
      <x:c r="N106" s="1"/>
      <x:c r="O106" s="1"/>
      <x:c r="P106" s="1"/>
      <x:c r="Q106" s="1"/>
    </x:row>
    <x:row r="107">
      <x:c r="A107" s="151" t="n">
        <x:v>45992</x:v>
      </x:c>
      <x:c r="B107" s="152" t="str">
        <x:v>平日</x:v>
      </x:c>
      <x:c r="C107" s="152" t="str">
        <x:v>08~11歲</x:v>
      </x:c>
      <x:c r="D107" s="40" t="n">
        <x:v>279</x:v>
      </x:c>
      <x:c r="E107" s="40" t="n">
        <x:v>116</x:v>
      </x:c>
      <x:c r="F107" s="153" t="n">
        <x:v>0</x:v>
      </x:c>
      <x:c r="G107" s="154" t="n">
        <x:f>SUM(D107:F107)</x:f>
        <x:v>395</x:v>
      </x:c>
      <x:c r="H107" s="155" t="n">
        <x:f>IF(SUMIFS($D$7:$D$286,$A$7:$A$286,A107,$B$7:$B$286,B107)=0,"",D107/SUMIFS($D$7:$D$286,$A$7:$A$286,A107,$B$7:$B$286,B107))</x:f>
        <x:v>0.0018197828001174053</x:v>
      </x:c>
      <x:c r="I107" s="155" t="n">
        <x:f>IF(SUMIFS($E$7:$E$286,$A$7:$A$286,A107,$B$7:$B$286,B107)=0,"",E107/SUMIFS($E$7:$E$286,$A$7:$A$286,A107,$B$7:$B$286,B107))</x:f>
        <x:v>0.0010365472254490215</x:v>
      </x:c>
      <x:c r="J107" s="155" t="n">
        <x:f>IF(SUMIFS($F$7:$F$286,$A$7:$A$286,A107,$B$7:$B$286,B107)=0,"",F107/SUMIFS($F$7:$F$286,$A$7:$A$286,A107,$B$7:$B$286,B107))</x:f>
        <x:v>0</x:v>
      </x:c>
      <x:c r="K107" s="155" t="n">
        <x:f>IF(SUMIFS($G$7:$G$286,$A$7:$A$286,A107,$B$7:$B$286,B107)=0,"",G107/SUMIFS($G$7:$G$286,$A$7:$A$286,A107,$B$7:$B$286,B107))</x:f>
        <x:v>0.0008454243281016907</x:v>
      </x:c>
      <x:c r="L107" s="1"/>
      <x:c r="M107" s="1"/>
      <x:c r="N107" s="1"/>
      <x:c r="O107" s="1"/>
      <x:c r="P107" s="1"/>
      <x:c r="Q107" s="1"/>
    </x:row>
    <x:row r="108">
      <x:c r="A108" s="151" t="n">
        <x:v>45992</x:v>
      </x:c>
      <x:c r="B108" s="152" t="str">
        <x:v>平日</x:v>
      </x:c>
      <x:c r="C108" s="152" t="str">
        <x:v>12~14歲</x:v>
      </x:c>
      <x:c r="D108" s="40" t="n">
        <x:v>4157</x:v>
      </x:c>
      <x:c r="E108" s="40" t="n">
        <x:v>1119</x:v>
      </x:c>
      <x:c r="F108" s="153" t="n">
        <x:v>0</x:v>
      </x:c>
      <x:c r="G108" s="154" t="n">
        <x:f>SUM(D108:F108)</x:f>
        <x:v>5276</x:v>
      </x:c>
      <x:c r="H108" s="155" t="n">
        <x:f>IF(SUMIFS($D$7:$D$286,$A$7:$A$286,A108,$B$7:$B$286,B108)=0,"",D108/SUMIFS($D$7:$D$286,$A$7:$A$286,A108,$B$7:$B$286,B108))</x:f>
        <x:v>0.027114111469849655</x:v>
      </x:c>
      <x:c r="I108" s="155" t="n">
        <x:f>IF(SUMIFS($E$7:$E$286,$A$7:$A$286,A108,$B$7:$B$286,B108)=0,"",E108/SUMIFS($E$7:$E$286,$A$7:$A$286,A108,$B$7:$B$286,B108))</x:f>
        <x:v>0.009999106424805648</x:v>
      </x:c>
      <x:c r="J108" s="155" t="n">
        <x:f>IF(SUMIFS($F$7:$F$286,$A$7:$A$286,A108,$B$7:$B$286,B108)=0,"",F108/SUMIFS($F$7:$F$286,$A$7:$A$286,A108,$B$7:$B$286,B108))</x:f>
        <x:v>0</x:v>
      </x:c>
      <x:c r="K108" s="155" t="n">
        <x:f>IF(SUMIFS($G$7:$G$286,$A$7:$A$286,A108,$B$7:$B$286,B108)=0,"",G108/SUMIFS($G$7:$G$286,$A$7:$A$286,A108,$B$7:$B$286,B108))</x:f>
        <x:v>0.011292300645732962</x:v>
      </x:c>
      <x:c r="L108" s="1"/>
      <x:c r="M108" s="1"/>
      <x:c r="N108" s="1"/>
      <x:c r="O108" s="1"/>
      <x:c r="P108" s="1"/>
      <x:c r="Q108" s="1"/>
    </x:row>
    <x:row r="109">
      <x:c r="A109" s="151" t="n">
        <x:v>45992</x:v>
      </x:c>
      <x:c r="B109" s="152" t="str">
        <x:v>平日</x:v>
      </x:c>
      <x:c r="C109" s="152" t="str">
        <x:v>15~17歲</x:v>
      </x:c>
      <x:c r="D109" s="40" t="n">
        <x:v>9110</x:v>
      </x:c>
      <x:c r="E109" s="40" t="n">
        <x:v>2913</x:v>
      </x:c>
      <x:c r="F109" s="153" t="n">
        <x:v>0</x:v>
      </x:c>
      <x:c r="G109" s="154" t="n">
        <x:f>SUM(D109:F109)</x:f>
        <x:v>12023</x:v>
      </x:c>
      <x:c r="H109" s="155" t="n">
        <x:f>IF(SUMIFS($D$7:$D$286,$A$7:$A$286,A109,$B$7:$B$286,B109)=0,"",D109/SUMIFS($D$7:$D$286,$A$7:$A$286,A109,$B$7:$B$286,B109))</x:f>
        <x:v>0.059420148061181226</x:v>
      </x:c>
      <x:c r="I109" s="155" t="n">
        <x:f>IF(SUMIFS($E$7:$E$286,$A$7:$A$286,A109,$B$7:$B$286,B109)=0,"",E109/SUMIFS($E$7:$E$286,$A$7:$A$286,A109,$B$7:$B$286,B109))</x:f>
        <x:v>0.02602984541149138</x:v>
      </x:c>
      <x:c r="J109" s="155" t="n">
        <x:f>IF(SUMIFS($F$7:$F$286,$A$7:$A$286,A109,$B$7:$B$286,B109)=0,"",F109/SUMIFS($F$7:$F$286,$A$7:$A$286,A109,$B$7:$B$286,B109))</x:f>
        <x:v>0</x:v>
      </x:c>
      <x:c r="K109" s="155" t="n">
        <x:f>IF(SUMIFS($G$7:$G$286,$A$7:$A$286,A109,$B$7:$B$286,B109)=0,"",G109/SUMIFS($G$7:$G$286,$A$7:$A$286,A109,$B$7:$B$286,B109))</x:f>
        <x:v>0.025733004295611712</x:v>
      </x:c>
      <x:c r="L109" s="1"/>
      <x:c r="M109" s="1"/>
      <x:c r="N109" s="1"/>
      <x:c r="O109" s="1"/>
      <x:c r="P109" s="1"/>
      <x:c r="Q109" s="1"/>
    </x:row>
    <x:row r="110">
      <x:c r="A110" s="151" t="n">
        <x:v>45992</x:v>
      </x:c>
      <x:c r="B110" s="152" t="str">
        <x:v>平日</x:v>
      </x:c>
      <x:c r="C110" s="152" t="str">
        <x:v>18~24歲</x:v>
      </x:c>
      <x:c r="D110" s="40" t="n">
        <x:v>15657</x:v>
      </x:c>
      <x:c r="E110" s="40" t="n">
        <x:v>11722</x:v>
      </x:c>
      <x:c r="F110" s="153" t="n">
        <x:v>0</x:v>
      </x:c>
      <x:c r="G110" s="154" t="n">
        <x:f>SUM(D110:F110)</x:f>
        <x:v>27379</x:v>
      </x:c>
      <x:c r="H110" s="155" t="n">
        <x:f>IF(SUMIFS($D$7:$D$286,$A$7:$A$286,A110,$B$7:$B$286,B110)=0,"",D110/SUMIFS($D$7:$D$286,$A$7:$A$286,A110,$B$7:$B$286,B110))</x:f>
        <x:v>0.1021230799334703</x:v>
      </x:c>
      <x:c r="I110" s="155" t="n">
        <x:f>IF(SUMIFS($E$7:$E$286,$A$7:$A$286,A110,$B$7:$B$286,B110)=0,"",E110/SUMIFS($E$7:$E$286,$A$7:$A$286,A110,$B$7:$B$286,B110))</x:f>
        <x:v>0.10474488428201233</x:v>
      </x:c>
      <x:c r="J110" s="155" t="n">
        <x:f>IF(SUMIFS($F$7:$F$286,$A$7:$A$286,A110,$B$7:$B$286,B110)=0,"",F110/SUMIFS($F$7:$F$286,$A$7:$A$286,A110,$B$7:$B$286,B110))</x:f>
        <x:v>0</x:v>
      </x:c>
      <x:c r="K110" s="155" t="n">
        <x:f>IF(SUMIFS($G$7:$G$286,$A$7:$A$286,A110,$B$7:$B$286,B110)=0,"",G110/SUMIFS($G$7:$G$286,$A$7:$A$286,A110,$B$7:$B$286,B110))</x:f>
        <x:v>0.058599677668597944</x:v>
      </x:c>
      <x:c r="L110" s="1"/>
      <x:c r="M110" s="1"/>
      <x:c r="N110" s="1"/>
      <x:c r="O110" s="1"/>
      <x:c r="P110" s="1"/>
      <x:c r="Q110" s="1"/>
    </x:row>
    <x:row r="111">
      <x:c r="A111" s="151" t="n">
        <x:v>45992</x:v>
      </x:c>
      <x:c r="B111" s="152" t="str">
        <x:v>平日</x:v>
      </x:c>
      <x:c r="C111" s="152" t="str">
        <x:v>25~34歲</x:v>
      </x:c>
      <x:c r="D111" s="40" t="n">
        <x:v>31853</x:v>
      </x:c>
      <x:c r="E111" s="40" t="n">
        <x:v>28064</x:v>
      </x:c>
      <x:c r="F111" s="153" t="n">
        <x:v>0</x:v>
      </x:c>
      <x:c r="G111" s="154" t="n">
        <x:f>SUM(D111:F111)</x:f>
        <x:v>59917</x:v>
      </x:c>
      <x:c r="H111" s="155" t="n">
        <x:f>IF(SUMIFS($D$7:$D$286,$A$7:$A$286,A111,$B$7:$B$286,B111)=0,"",D111/SUMIFS($D$7:$D$286,$A$7:$A$286,A111,$B$7:$B$286,B111))</x:f>
        <x:v>0.20776179760623553</x:v>
      </x:c>
      <x:c r="I111" s="155" t="n">
        <x:f>IF(SUMIFS($E$7:$E$286,$A$7:$A$286,A111,$B$7:$B$286,B111)=0,"",E111/SUMIFS($E$7:$E$286,$A$7:$A$286,A111,$B$7:$B$286,B111))</x:f>
        <x:v>0.250772942543115</x:v>
      </x:c>
      <x:c r="J111" s="155" t="n">
        <x:f>IF(SUMIFS($F$7:$F$286,$A$7:$A$286,A111,$B$7:$B$286,B111)=0,"",F111/SUMIFS($F$7:$F$286,$A$7:$A$286,A111,$B$7:$B$286,B111))</x:f>
        <x:v>0</x:v>
      </x:c>
      <x:c r="K111" s="155" t="n">
        <x:f>IF(SUMIFS($G$7:$G$286,$A$7:$A$286,A111,$B$7:$B$286,B111)=0,"",G111/SUMIFS($G$7:$G$286,$A$7:$A$286,A111,$B$7:$B$286,B111))</x:f>
        <x:v>0.12824123915663038</x:v>
      </x:c>
      <x:c r="L111" s="1"/>
      <x:c r="M111" s="1"/>
      <x:c r="N111" s="1"/>
      <x:c r="O111" s="1"/>
      <x:c r="P111" s="1"/>
      <x:c r="Q111" s="1"/>
    </x:row>
    <x:row r="112">
      <x:c r="A112" s="151" t="n">
        <x:v>45992</x:v>
      </x:c>
      <x:c r="B112" s="152" t="str">
        <x:v>平日</x:v>
      </x:c>
      <x:c r="C112" s="152" t="str">
        <x:v>35~44歲</x:v>
      </x:c>
      <x:c r="D112" s="40" t="n">
        <x:v>28538</x:v>
      </x:c>
      <x:c r="E112" s="40" t="n">
        <x:v>27002</x:v>
      </x:c>
      <x:c r="F112" s="153" t="n">
        <x:v>0</x:v>
      </x:c>
      <x:c r="G112" s="154" t="n">
        <x:f>SUM(D112:F112)</x:f>
        <x:v>55540</x:v>
      </x:c>
      <x:c r="H112" s="155" t="n">
        <x:f>IF(SUMIFS($D$7:$D$286,$A$7:$A$286,A112,$B$7:$B$286,B112)=0,"",D112/SUMIFS($D$7:$D$286,$A$7:$A$286,A112,$B$7:$B$286,B112))</x:f>
        <x:v>0.18613964713172226</x:v>
      </x:c>
      <x:c r="I112" s="155" t="n">
        <x:f>IF(SUMIFS($E$7:$E$286,$A$7:$A$286,A112,$B$7:$B$286,B112)=0,"",E112/SUMIFS($E$7:$E$286,$A$7:$A$286,A112,$B$7:$B$286,B112))</x:f>
        <x:v>0.24128317397909035</x:v>
      </x:c>
      <x:c r="J112" s="155" t="n">
        <x:f>IF(SUMIFS($F$7:$F$286,$A$7:$A$286,A112,$B$7:$B$286,B112)=0,"",F112/SUMIFS($F$7:$F$286,$A$7:$A$286,A112,$B$7:$B$286,B112))</x:f>
        <x:v>0</x:v>
      </x:c>
      <x:c r="K112" s="155" t="n">
        <x:f>IF(SUMIFS($G$7:$G$286,$A$7:$A$286,A112,$B$7:$B$286,B112)=0,"",G112/SUMIFS($G$7:$G$286,$A$7:$A$286,A112,$B$7:$B$286,B112))</x:f>
        <x:v>0.11887308147536177</x:v>
      </x:c>
      <x:c r="L112" s="1"/>
      <x:c r="M112" s="1"/>
      <x:c r="N112" s="1"/>
      <x:c r="O112" s="1"/>
      <x:c r="P112" s="1"/>
      <x:c r="Q112" s="1"/>
    </x:row>
    <x:row r="113">
      <x:c r="A113" s="151" t="n">
        <x:v>45992</x:v>
      </x:c>
      <x:c r="B113" s="152" t="str">
        <x:v>平日</x:v>
      </x:c>
      <x:c r="C113" s="152" t="str">
        <x:v>45~54歲</x:v>
      </x:c>
      <x:c r="D113" s="40" t="n">
        <x:v>23538</x:v>
      </x:c>
      <x:c r="E113" s="40" t="n">
        <x:v>21489</x:v>
      </x:c>
      <x:c r="F113" s="153" t="n">
        <x:v>0</x:v>
      </x:c>
      <x:c r="G113" s="154" t="n">
        <x:f>SUM(D113:F113)</x:f>
        <x:v>45027</x:v>
      </x:c>
      <x:c r="H113" s="155" t="n">
        <x:f>IF(SUMIFS($D$7:$D$286,$A$7:$A$286,A113,$B$7:$B$286,B113)=0,"",D113/SUMIFS($D$7:$D$286,$A$7:$A$286,A113,$B$7:$B$286,B113))</x:f>
        <x:v>0.15352705214753937</x:v>
      </x:c>
      <x:c r="I113" s="155" t="n">
        <x:f>IF(SUMIFS($E$7:$E$286,$A$7:$A$286,A113,$B$7:$B$286,B113)=0,"",E113/SUMIFS($E$7:$E$286,$A$7:$A$286,A113,$B$7:$B$286,B113))</x:f>
        <x:v>0.19202037351443124</x:v>
      </x:c>
      <x:c r="J113" s="155" t="n">
        <x:f>IF(SUMIFS($F$7:$F$286,$A$7:$A$286,A113,$B$7:$B$286,B113)=0,"",F113/SUMIFS($F$7:$F$286,$A$7:$A$286,A113,$B$7:$B$286,B113))</x:f>
        <x:v>0</x:v>
      </x:c>
      <x:c r="K113" s="155" t="n">
        <x:f>IF(SUMIFS($G$7:$G$286,$A$7:$A$286,A113,$B$7:$B$286,B113)=0,"",G113/SUMIFS($G$7:$G$286,$A$7:$A$286,A113,$B$7:$B$286,B113))</x:f>
        <x:v>0.09637195245932867</x:v>
      </x:c>
      <x:c r="L113" s="1"/>
      <x:c r="M113" s="1"/>
      <x:c r="N113" s="1"/>
      <x:c r="O113" s="1"/>
      <x:c r="P113" s="1"/>
      <x:c r="Q113" s="1"/>
    </x:row>
    <x:row r="114">
      <x:c r="A114" s="151" t="n">
        <x:v>45992</x:v>
      </x:c>
      <x:c r="B114" s="152" t="str">
        <x:v>平日</x:v>
      </x:c>
      <x:c r="C114" s="152" t="str">
        <x:v>55~64歲</x:v>
      </x:c>
      <x:c r="D114" s="40" t="n">
        <x:v>14564</x:v>
      </x:c>
      <x:c r="E114" s="40" t="n">
        <x:v>10938</x:v>
      </x:c>
      <x:c r="F114" s="153" t="n">
        <x:v>0</x:v>
      </x:c>
      <x:c r="G114" s="154" t="n">
        <x:f>SUM(D114:F114)</x:f>
        <x:v>25502</x:v>
      </x:c>
      <x:c r="H114" s="155" t="n">
        <x:f>IF(SUMIFS($D$7:$D$286,$A$7:$A$286,A114,$B$7:$B$286,B114)=0,"",D114/SUMIFS($D$7:$D$286,$A$7:$A$286,A114,$B$7:$B$286,B114))</x:f>
        <x:v>0.09499396666992793</x:v>
      </x:c>
      <x:c r="I114" s="155" t="n">
        <x:f>IF(SUMIFS($E$7:$E$286,$A$7:$A$286,A114,$B$7:$B$286,B114)=0,"",E114/SUMIFS($E$7:$E$286,$A$7:$A$286,A114,$B$7:$B$286,B114))</x:f>
        <x:v>0.09773925475828792</x:v>
      </x:c>
      <x:c r="J114" s="155" t="n">
        <x:f>IF(SUMIFS($F$7:$F$286,$A$7:$A$286,A114,$B$7:$B$286,B114)=0,"",F114/SUMIFS($F$7:$F$286,$A$7:$A$286,A114,$B$7:$B$286,B114))</x:f>
        <x:v>0</x:v>
      </x:c>
      <x:c r="K114" s="155" t="n">
        <x:f>IF(SUMIFS($G$7:$G$286,$A$7:$A$286,A114,$B$7:$B$286,B114)=0,"",G114/SUMIFS($G$7:$G$286,$A$7:$A$286,A114,$B$7:$B$286,B114))</x:f>
        <x:v>0.0545823068740489</x:v>
      </x:c>
      <x:c r="L114" s="1"/>
      <x:c r="M114" s="1"/>
      <x:c r="N114" s="1"/>
      <x:c r="O114" s="1"/>
      <x:c r="P114" s="1"/>
      <x:c r="Q114" s="1"/>
    </x:row>
    <x:row r="115">
      <x:c r="A115" s="151" t="n">
        <x:v>45992</x:v>
      </x:c>
      <x:c r="B115" s="152" t="str">
        <x:v>平日</x:v>
      </x:c>
      <x:c r="C115" s="152" t="str">
        <x:v>65~100歲</x:v>
      </x:c>
      <x:c r="D115" s="40" t="n">
        <x:v>25619</x:v>
      </x:c>
      <x:c r="E115" s="40" t="n">
        <x:v>8547</x:v>
      </x:c>
      <x:c r="F115" s="153" t="n">
        <x:v>0</x:v>
      </x:c>
      <x:c r="G115" s="154" t="n">
        <x:f>SUM(D115:F115)</x:f>
        <x:v>34166</x:v>
      </x:c>
      <x:c r="H115" s="155" t="n">
        <x:f>IF(SUMIFS($D$7:$D$286,$A$7:$A$286,A115,$B$7:$B$286,B115)=0,"",D115/SUMIFS($D$7:$D$286,$A$7:$A$286,A115,$B$7:$B$286,B115))</x:f>
        <x:v>0.1671004141799563</x:v>
      </x:c>
      <x:c r="I115" s="155" t="n">
        <x:f>IF(SUMIFS($E$7:$E$286,$A$7:$A$286,A115,$B$7:$B$286,B115)=0,"",E115/SUMIFS($E$7:$E$286,$A$7:$A$286,A115,$B$7:$B$286,B115))</x:f>
        <x:v>0.07637387186131712</x:v>
      </x:c>
      <x:c r="J115" s="155" t="n">
        <x:f>IF(SUMIFS($F$7:$F$286,$A$7:$A$286,A115,$B$7:$B$286,B115)=0,"",F115/SUMIFS($F$7:$F$286,$A$7:$A$286,A115,$B$7:$B$286,B115))</x:f>
        <x:v>0</x:v>
      </x:c>
      <x:c r="K115" s="155" t="n">
        <x:f>IF(SUMIFS($G$7:$G$286,$A$7:$A$286,A115,$B$7:$B$286,B115)=0,"",G115/SUMIFS($G$7:$G$286,$A$7:$A$286,A115,$B$7:$B$286,B115))</x:f>
        <x:v>0.07312599390866421</x:v>
      </x:c>
      <x:c r="L115" s="1"/>
      <x:c r="M115" s="1"/>
      <x:c r="N115" s="1"/>
      <x:c r="O115" s="1"/>
      <x:c r="P115" s="1"/>
      <x:c r="Q115" s="1"/>
    </x:row>
    <x:row r="116">
      <x:c r="A116" s="151" t="n">
        <x:v>45992</x:v>
      </x:c>
      <x:c r="B116" s="152" t="str">
        <x:v>平日</x:v>
      </x:c>
      <x:c r="C116" s="152" t="str">
        <x:v>未投保或資料有誤</x:v>
      </x:c>
      <x:c r="D116" s="40" t="n">
        <x:v>0</x:v>
      </x:c>
      <x:c r="E116" s="40" t="n">
        <x:v>0</x:v>
      </x:c>
      <x:c r="F116" s="153" t="n">
        <x:v>201996</x:v>
      </x:c>
      <x:c r="G116" s="154" t="n">
        <x:f>SUM(D116:F116)</x:f>
        <x:v>201996</x:v>
      </x:c>
      <x:c r="H116" s="155" t="n">
        <x:f>IF(SUMIFS($D$7:$D$286,$A$7:$A$286,A116,$B$7:$B$286,B116)=0,"",D116/SUMIFS($D$7:$D$286,$A$7:$A$286,A116,$B$7:$B$286,B116))</x:f>
        <x:v>0</x:v>
      </x:c>
      <x:c r="I116" s="155" t="n">
        <x:f>IF(SUMIFS($E$7:$E$286,$A$7:$A$286,A116,$B$7:$B$286,B116)=0,"",E116/SUMIFS($E$7:$E$286,$A$7:$A$286,A116,$B$7:$B$286,B116))</x:f>
        <x:v>0</x:v>
      </x:c>
      <x:c r="J116" s="155" t="n">
        <x:f>IF(SUMIFS($F$7:$F$286,$A$7:$A$286,A116,$B$7:$B$286,B116)=0,"",F116/SUMIFS($F$7:$F$286,$A$7:$A$286,A116,$B$7:$B$286,B116))</x:f>
        <x:v>1</x:v>
      </x:c>
      <x:c r="K116" s="155" t="n">
        <x:f>IF(SUMIFS($G$7:$G$286,$A$7:$A$286,A116,$B$7:$B$286,B116)=0,"",G116/SUMIFS($G$7:$G$286,$A$7:$A$286,A116,$B$7:$B$286,B116))</x:f>
        <x:v>0.4323350191879218</x:v>
      </x:c>
      <x:c r="L116" s="1"/>
      <x:c r="M116" s="1"/>
      <x:c r="N116" s="1"/>
      <x:c r="O116" s="1"/>
      <x:c r="P116" s="1"/>
      <x:c r="Q116" s="1"/>
    </x:row>
    <x:row r="117">
      <x:c r="A117" s="151" t="n">
        <x:v>45992</x:v>
      </x:c>
      <x:c r="B117" s="152" t="str">
        <x:v>假日</x:v>
      </x:c>
      <x:c r="C117" s="152" t="str">
        <x:v>08~11歲</x:v>
      </x:c>
      <x:c r="D117" s="40" t="n">
        <x:v>162</x:v>
      </x:c>
      <x:c r="E117" s="40" t="n">
        <x:v>54</x:v>
      </x:c>
      <x:c r="F117" s="153" t="n">
        <x:v>0</x:v>
      </x:c>
      <x:c r="G117" s="154" t="n">
        <x:f>SUM(D117:F117)</x:f>
        <x:v>216</x:v>
      </x:c>
      <x:c r="H117" s="155" t="n">
        <x:f>IF(SUMIFS($D$7:$D$286,$A$7:$A$286,A117,$B$7:$B$286,B117)=0,"",D117/SUMIFS($D$7:$D$286,$A$7:$A$286,A117,$B$7:$B$286,B117))</x:f>
        <x:v>0.0031274735033494853</x:v>
      </x:c>
      <x:c r="I117" s="155" t="n">
        <x:f>IF(SUMIFS($E$7:$E$286,$A$7:$A$286,A117,$B$7:$B$286,B117)=0,"",E117/SUMIFS($E$7:$E$286,$A$7:$A$286,A117,$B$7:$B$286,B117))</x:f>
        <x:v>0.0015514120722843105</x:v>
      </x:c>
      <x:c r="J117" s="155" t="n">
        <x:f>IF(SUMIFS($F$7:$F$286,$A$7:$A$286,A117,$B$7:$B$286,B117)=0,"",F117/SUMIFS($F$7:$F$286,$A$7:$A$286,A117,$B$7:$B$286,B117))</x:f>
        <x:v>0</x:v>
      </x:c>
      <x:c r="K117" s="155" t="n">
        <x:f>IF(SUMIFS($G$7:$G$286,$A$7:$A$286,A117,$B$7:$B$286,B117)=0,"",G117/SUMIFS($G$7:$G$286,$A$7:$A$286,A117,$B$7:$B$286,B117))</x:f>
        <x:v>0.0013838702237256861</x:v>
      </x:c>
      <x:c r="L117" s="1"/>
      <x:c r="M117" s="1"/>
      <x:c r="N117" s="1"/>
      <x:c r="O117" s="1"/>
      <x:c r="P117" s="1"/>
      <x:c r="Q117" s="1"/>
    </x:row>
    <x:row r="118">
      <x:c r="A118" s="151" t="n">
        <x:v>45992</x:v>
      </x:c>
      <x:c r="B118" s="152" t="str">
        <x:v>假日</x:v>
      </x:c>
      <x:c r="C118" s="152" t="str">
        <x:v>12~14歲</x:v>
      </x:c>
      <x:c r="D118" s="40" t="n">
        <x:v>1276</x:v>
      </x:c>
      <x:c r="E118" s="40" t="n">
        <x:v>374</x:v>
      </x:c>
      <x:c r="F118" s="153" t="n">
        <x:v>0</x:v>
      </x:c>
      <x:c r="G118" s="154" t="n">
        <x:f>SUM(D118:F118)</x:f>
        <x:v>1650</x:v>
      </x:c>
      <x:c r="H118" s="155" t="n">
        <x:f>IF(SUMIFS($D$7:$D$286,$A$7:$A$286,A118,$B$7:$B$286,B118)=0,"",D118/SUMIFS($D$7:$D$286,$A$7:$A$286,A118,$B$7:$B$286,B118))</x:f>
        <x:v>0.024633680186876193</x:v>
      </x:c>
      <x:c r="I118" s="155" t="n">
        <x:f>IF(SUMIFS($E$7:$E$286,$A$7:$A$286,A118,$B$7:$B$286,B118)=0,"",E118/SUMIFS($E$7:$E$286,$A$7:$A$286,A118,$B$7:$B$286,B118))</x:f>
        <x:v>0.010744965093228373</x:v>
      </x:c>
      <x:c r="J118" s="155" t="n">
        <x:f>IF(SUMIFS($F$7:$F$286,$A$7:$A$286,A118,$B$7:$B$286,B118)=0,"",F118/SUMIFS($F$7:$F$286,$A$7:$A$286,A118,$B$7:$B$286,B118))</x:f>
        <x:v>0</x:v>
      </x:c>
      <x:c r="K118" s="155" t="n">
        <x:f>IF(SUMIFS($G$7:$G$286,$A$7:$A$286,A118,$B$7:$B$286,B118)=0,"",G118/SUMIFS($G$7:$G$286,$A$7:$A$286,A118,$B$7:$B$286,B118))</x:f>
        <x:v>0.010571230875682324</x:v>
      </x:c>
      <x:c r="L118" s="1"/>
      <x:c r="M118" s="1"/>
      <x:c r="N118" s="1"/>
      <x:c r="O118" s="1"/>
      <x:c r="P118" s="1"/>
      <x:c r="Q118" s="1"/>
    </x:row>
    <x:row r="119">
      <x:c r="A119" s="151" t="n">
        <x:v>45992</x:v>
      </x:c>
      <x:c r="B119" s="152" t="str">
        <x:v>假日</x:v>
      </x:c>
      <x:c r="C119" s="152" t="str">
        <x:v>15~17歲</x:v>
      </x:c>
      <x:c r="D119" s="40" t="n">
        <x:v>2687</x:v>
      </x:c>
      <x:c r="E119" s="40" t="n">
        <x:v>910</x:v>
      </x:c>
      <x:c r="F119" s="153" t="n">
        <x:v>0</x:v>
      </x:c>
      <x:c r="G119" s="154" t="n">
        <x:f>SUM(D119:F119)</x:f>
        <x:v>3597</x:v>
      </x:c>
      <x:c r="H119" s="155" t="n">
        <x:f>IF(SUMIFS($D$7:$D$286,$A$7:$A$286,A119,$B$7:$B$286,B119)=0,"",D119/SUMIFS($D$7:$D$286,$A$7:$A$286,A119,$B$7:$B$286,B119))</x:f>
        <x:v>0.051873588293210295</x:v>
      </x:c>
      <x:c r="I119" s="155" t="n">
        <x:f>IF(SUMIFS($E$7:$E$286,$A$7:$A$286,A119,$B$7:$B$286,B119)=0,"",E119/SUMIFS($E$7:$E$286,$A$7:$A$286,A119,$B$7:$B$286,B119))</x:f>
        <x:v>0.02614416640330968</x:v>
      </x:c>
      <x:c r="J119" s="155" t="n">
        <x:f>IF(SUMIFS($F$7:$F$286,$A$7:$A$286,A119,$B$7:$B$286,B119)=0,"",F119/SUMIFS($F$7:$F$286,$A$7:$A$286,A119,$B$7:$B$286,B119))</x:f>
        <x:v>0</x:v>
      </x:c>
      <x:c r="K119" s="155" t="n">
        <x:f>IF(SUMIFS($G$7:$G$286,$A$7:$A$286,A119,$B$7:$B$286,B119)=0,"",G119/SUMIFS($G$7:$G$286,$A$7:$A$286,A119,$B$7:$B$286,B119))</x:f>
        <x:v>0.023045283308987467</x:v>
      </x:c>
      <x:c r="L119" s="1"/>
      <x:c r="M119" s="1"/>
      <x:c r="N119" s="1"/>
      <x:c r="O119" s="1"/>
      <x:c r="P119" s="1"/>
      <x:c r="Q119" s="1"/>
    </x:row>
    <x:row r="120">
      <x:c r="A120" s="151" t="n">
        <x:v>45992</x:v>
      </x:c>
      <x:c r="B120" s="152" t="str">
        <x:v>假日</x:v>
      </x:c>
      <x:c r="C120" s="152" t="str">
        <x:v>18~24歲</x:v>
      </x:c>
      <x:c r="D120" s="40" t="n">
        <x:v>5053</x:v>
      </x:c>
      <x:c r="E120" s="40" t="n">
        <x:v>3634</x:v>
      </x:c>
      <x:c r="F120" s="153" t="n">
        <x:v>0</x:v>
      </x:c>
      <x:c r="G120" s="154" t="n">
        <x:f>SUM(D120:F120)</x:f>
        <x:v>8687</x:v>
      </x:c>
      <x:c r="H120" s="155" t="n">
        <x:f>IF(SUMIFS($D$7:$D$286,$A$7:$A$286,A120,$B$7:$B$286,B120)=0,"",D120/SUMIFS($D$7:$D$286,$A$7:$A$286,A120,$B$7:$B$286,B120))</x:f>
        <x:v>0.09755014575570957</x:v>
      </x:c>
      <x:c r="I120" s="155" t="n">
        <x:f>IF(SUMIFS($E$7:$E$286,$A$7:$A$286,A120,$B$7:$B$286,B120)=0,"",E120/SUMIFS($E$7:$E$286,$A$7:$A$286,A120,$B$7:$B$286,B120))</x:f>
        <x:v>0.10440428649409601</x:v>
      </x:c>
      <x:c r="J120" s="155" t="n">
        <x:f>IF(SUMIFS($F$7:$F$286,$A$7:$A$286,A120,$B$7:$B$286,B120)=0,"",F120/SUMIFS($F$7:$F$286,$A$7:$A$286,A120,$B$7:$B$286,B120))</x:f>
        <x:v>0</x:v>
      </x:c>
      <x:c r="K120" s="155" t="n">
        <x:f>IF(SUMIFS($G$7:$G$286,$A$7:$A$286,A120,$B$7:$B$286,B120)=0,"",G120/SUMIFS($G$7:$G$286,$A$7:$A$286,A120,$B$7:$B$286,B120))</x:f>
        <x:v>0.05565592885881961</x:v>
      </x:c>
      <x:c r="L120" s="1"/>
      <x:c r="M120" s="1"/>
      <x:c r="N120" s="1"/>
      <x:c r="O120" s="1"/>
      <x:c r="P120" s="1"/>
      <x:c r="Q120" s="1"/>
    </x:row>
    <x:row r="121">
      <x:c r="A121" s="151" t="n">
        <x:v>45992</x:v>
      </x:c>
      <x:c r="B121" s="152" t="str">
        <x:v>假日</x:v>
      </x:c>
      <x:c r="C121" s="152" t="str">
        <x:v>25~34歲</x:v>
      </x:c>
      <x:c r="D121" s="40" t="n">
        <x:v>10568</x:v>
      </x:c>
      <x:c r="E121" s="40" t="n">
        <x:v>8195</x:v>
      </x:c>
      <x:c r="F121" s="153" t="n">
        <x:v>0</x:v>
      </x:c>
      <x:c r="G121" s="154" t="n">
        <x:f>SUM(D121:F121)</x:f>
        <x:v>18763</x:v>
      </x:c>
      <x:c r="H121" s="155" t="n">
        <x:f>IF(SUMIFS($D$7:$D$286,$A$7:$A$286,A121,$B$7:$B$286,B121)=0,"",D121/SUMIFS($D$7:$D$286,$A$7:$A$286,A121,$B$7:$B$286,B121))</x:f>
        <x:v>0.20401938261356398</x:v>
      </x:c>
      <x:c r="I121" s="155" t="n">
        <x:f>IF(SUMIFS($E$7:$E$286,$A$7:$A$286,A121,$B$7:$B$286,B121)=0,"",E121/SUMIFS($E$7:$E$286,$A$7:$A$286,A121,$B$7:$B$286,B121))</x:f>
        <x:v>0.23544114689573936</x:v>
      </x:c>
      <x:c r="J121" s="155" t="n">
        <x:f>IF(SUMIFS($F$7:$F$286,$A$7:$A$286,A121,$B$7:$B$286,B121)=0,"",F121/SUMIFS($F$7:$F$286,$A$7:$A$286,A121,$B$7:$B$286,B121))</x:f>
        <x:v>0</x:v>
      </x:c>
      <x:c r="K121" s="155" t="n">
        <x:f>IF(SUMIFS($G$7:$G$286,$A$7:$A$286,A121,$B$7:$B$286,B121)=0,"",G121/SUMIFS($G$7:$G$286,$A$7:$A$286,A121,$B$7:$B$286,B121))</x:f>
        <x:v>0.12021091207298634</x:v>
      </x:c>
      <x:c r="L121" s="1"/>
      <x:c r="M121" s="1"/>
      <x:c r="N121" s="1"/>
      <x:c r="O121" s="1"/>
      <x:c r="P121" s="1"/>
      <x:c r="Q121" s="1"/>
    </x:row>
    <x:row r="122">
      <x:c r="A122" s="151" t="n">
        <x:v>45992</x:v>
      </x:c>
      <x:c r="B122" s="152" t="str">
        <x:v>假日</x:v>
      </x:c>
      <x:c r="C122" s="152" t="str">
        <x:v>35~44歲</x:v>
      </x:c>
      <x:c r="D122" s="40" t="n">
        <x:v>9721</x:v>
      </x:c>
      <x:c r="E122" s="40" t="n">
        <x:v>7616</x:v>
      </x:c>
      <x:c r="F122" s="153" t="n">
        <x:v>0</x:v>
      </x:c>
      <x:c r="G122" s="154" t="n">
        <x:f>SUM(D122:F122)</x:f>
        <x:v>17337</x:v>
      </x:c>
      <x:c r="H122" s="155" t="n">
        <x:f>IF(SUMIFS($D$7:$D$286,$A$7:$A$286,A122,$B$7:$B$286,B122)=0,"",D122/SUMIFS($D$7:$D$286,$A$7:$A$286,A122,$B$7:$B$286,B122))</x:f>
        <x:v>0.1876677155929651</x:v>
      </x:c>
      <x:c r="I122" s="155" t="n">
        <x:f>IF(SUMIFS($E$7:$E$286,$A$7:$A$286,A122,$B$7:$B$286,B122)=0,"",E122/SUMIFS($E$7:$E$286,$A$7:$A$286,A122,$B$7:$B$286,B122))</x:f>
        <x:v>0.2188065618984687</x:v>
      </x:c>
      <x:c r="J122" s="155" t="n">
        <x:f>IF(SUMIFS($F$7:$F$286,$A$7:$A$286,A122,$B$7:$B$286,B122)=0,"",F122/SUMIFS($F$7:$F$286,$A$7:$A$286,A122,$B$7:$B$286,B122))</x:f>
        <x:v>0</x:v>
      </x:c>
      <x:c r="K122" s="155" t="n">
        <x:f>IF(SUMIFS($G$7:$G$286,$A$7:$A$286,A122,$B$7:$B$286,B122)=0,"",G122/SUMIFS($G$7:$G$286,$A$7:$A$286,A122,$B$7:$B$286,B122))</x:f>
        <x:v>0.11107480587376029</x:v>
      </x:c>
      <x:c r="L122" s="1"/>
      <x:c r="M122" s="1"/>
      <x:c r="N122" s="1"/>
      <x:c r="O122" s="1"/>
      <x:c r="P122" s="1"/>
      <x:c r="Q122" s="1"/>
    </x:row>
    <x:row r="123">
      <x:c r="A123" s="151" t="n">
        <x:v>45992</x:v>
      </x:c>
      <x:c r="B123" s="152" t="str">
        <x:v>假日</x:v>
      </x:c>
      <x:c r="C123" s="152" t="str">
        <x:v>45~54歲</x:v>
      </x:c>
      <x:c r="D123" s="40" t="n">
        <x:v>8336</x:v>
      </x:c>
      <x:c r="E123" s="40" t="n">
        <x:v>7327</x:v>
      </x:c>
      <x:c r="F123" s="153" t="n">
        <x:v>0</x:v>
      </x:c>
      <x:c r="G123" s="154" t="n">
        <x:f>SUM(D123:F123)</x:f>
        <x:v>15663</x:v>
      </x:c>
      <x:c r="H123" s="155" t="n">
        <x:f>IF(SUMIFS($D$7:$D$286,$A$7:$A$286,A123,$B$7:$B$286,B123)=0,"",D123/SUMIFS($D$7:$D$286,$A$7:$A$286,A123,$B$7:$B$286,B123))</x:f>
        <x:v>0.1609297476785266</x:v>
      </x:c>
      <x:c r="I123" s="155" t="n">
        <x:f>IF(SUMIFS($E$7:$E$286,$A$7:$A$286,A123,$B$7:$B$286,B123)=0,"",E123/SUMIFS($E$7:$E$286,$A$7:$A$286,A123,$B$7:$B$286,B123))</x:f>
        <x:v>0.2105036343264286</x:v>
      </x:c>
      <x:c r="J123" s="155" t="n">
        <x:f>IF(SUMIFS($F$7:$F$286,$A$7:$A$286,A123,$B$7:$B$286,B123)=0,"",F123/SUMIFS($F$7:$F$286,$A$7:$A$286,A123,$B$7:$B$286,B123))</x:f>
        <x:v>0</x:v>
      </x:c>
      <x:c r="K123" s="155" t="n">
        <x:f>IF(SUMIFS($G$7:$G$286,$A$7:$A$286,A123,$B$7:$B$286,B123)=0,"",G123/SUMIFS($G$7:$G$286,$A$7:$A$286,A123,$B$7:$B$286,B123))</x:f>
        <x:v>0.10034981163988621</x:v>
      </x:c>
      <x:c r="L123" s="1"/>
      <x:c r="M123" s="1"/>
      <x:c r="N123" s="1"/>
      <x:c r="O123" s="1"/>
      <x:c r="P123" s="1"/>
      <x:c r="Q123" s="1"/>
    </x:row>
    <x:row r="124">
      <x:c r="A124" s="151" t="n">
        <x:v>45992</x:v>
      </x:c>
      <x:c r="B124" s="152" t="str">
        <x:v>假日</x:v>
      </x:c>
      <x:c r="C124" s="152" t="str">
        <x:v>55~64歲</x:v>
      </x:c>
      <x:c r="D124" s="40" t="n">
        <x:v>5215</x:v>
      </x:c>
      <x:c r="E124" s="40" t="n">
        <x:v>3797</x:v>
      </x:c>
      <x:c r="F124" s="153" t="n">
        <x:v>0</x:v>
      </x:c>
      <x:c r="G124" s="154" t="n">
        <x:f>SUM(D124:F124)</x:f>
        <x:v>9012</x:v>
      </x:c>
      <x:c r="H124" s="155" t="n">
        <x:f>IF(SUMIFS($D$7:$D$286,$A$7:$A$286,A124,$B$7:$B$286,B124)=0,"",D124/SUMIFS($D$7:$D$286,$A$7:$A$286,A124,$B$7:$B$286,B124))</x:f>
        <x:v>0.10067761925905906</x:v>
      </x:c>
      <x:c r="I124" s="155" t="n">
        <x:f>IF(SUMIFS($E$7:$E$286,$A$7:$A$286,A124,$B$7:$B$286,B124)=0,"",E124/SUMIFS($E$7:$E$286,$A$7:$A$286,A124,$B$7:$B$286,B124))</x:f>
        <x:v>0.1090872525641394</x:v>
      </x:c>
      <x:c r="J124" s="155" t="n">
        <x:f>IF(SUMIFS($F$7:$F$286,$A$7:$A$286,A124,$B$7:$B$286,B124)=0,"",F124/SUMIFS($F$7:$F$286,$A$7:$A$286,A124,$B$7:$B$286,B124))</x:f>
        <x:v>0</x:v>
      </x:c>
      <x:c r="K124" s="155" t="n">
        <x:f>IF(SUMIFS($G$7:$G$286,$A$7:$A$286,A124,$B$7:$B$286,B124)=0,"",G124/SUMIFS($G$7:$G$286,$A$7:$A$286,A124,$B$7:$B$286,B124))</x:f>
        <x:v>0.057738141000999464</x:v>
      </x:c>
      <x:c r="L124" s="1"/>
      <x:c r="M124" s="1"/>
      <x:c r="N124" s="1"/>
      <x:c r="O124" s="1"/>
      <x:c r="P124" s="1"/>
      <x:c r="Q124" s="1"/>
    </x:row>
    <x:row r="125">
      <x:c r="A125" s="151" t="n">
        <x:v>45992</x:v>
      </x:c>
      <x:c r="B125" s="152" t="str">
        <x:v>假日</x:v>
      </x:c>
      <x:c r="C125" s="152" t="str">
        <x:v>65~100歲</x:v>
      </x:c>
      <x:c r="D125" s="40" t="n">
        <x:v>8781</x:v>
      </x:c>
      <x:c r="E125" s="40" t="n">
        <x:v>2900</x:v>
      </x:c>
      <x:c r="F125" s="153" t="n">
        <x:v>0</x:v>
      </x:c>
      <x:c r="G125" s="154" t="n">
        <x:f>SUM(D125:F125)</x:f>
        <x:v>11681</x:v>
      </x:c>
      <x:c r="H125" s="155" t="n">
        <x:f>IF(SUMIFS($D$7:$D$286,$A$7:$A$286,A125,$B$7:$B$286,B125)=0,"",D125/SUMIFS($D$7:$D$286,$A$7:$A$286,A125,$B$7:$B$286,B125))</x:f>
        <x:v>0.1695206471167397</x:v>
      </x:c>
      <x:c r="I125" s="155" t="n">
        <x:f>IF(SUMIFS($E$7:$E$286,$A$7:$A$286,A125,$B$7:$B$286,B125)=0,"",E125/SUMIFS($E$7:$E$286,$A$7:$A$286,A125,$B$7:$B$286,B125))</x:f>
        <x:v>0.08331657425230557</x:v>
      </x:c>
      <x:c r="J125" s="155" t="n">
        <x:f>IF(SUMIFS($F$7:$F$286,$A$7:$A$286,A125,$B$7:$B$286,B125)=0,"",F125/SUMIFS($F$7:$F$286,$A$7:$A$286,A125,$B$7:$B$286,B125))</x:f>
        <x:v>0</x:v>
      </x:c>
      <x:c r="K125" s="155" t="n">
        <x:f>IF(SUMIFS($G$7:$G$286,$A$7:$A$286,A125,$B$7:$B$286,B125)=0,"",G125/SUMIFS($G$7:$G$286,$A$7:$A$286,A125,$B$7:$B$286,B125))</x:f>
        <x:v>0.07483790779323954</x:v>
      </x:c>
      <x:c r="L125" s="1"/>
      <x:c r="M125" s="1"/>
      <x:c r="N125" s="1"/>
      <x:c r="O125" s="1"/>
      <x:c r="P125" s="1"/>
      <x:c r="Q125" s="1"/>
    </x:row>
    <x:row r="126">
      <x:c r="A126" s="151" t="n">
        <x:v>45992</x:v>
      </x:c>
      <x:c r="B126" s="152" t="str">
        <x:v>假日</x:v>
      </x:c>
      <x:c r="C126" s="152" t="str">
        <x:v>未投保或資料有誤</x:v>
      </x:c>
      <x:c r="D126" s="40" t="n">
        <x:v>0</x:v>
      </x:c>
      <x:c r="E126" s="40" t="n">
        <x:v>0</x:v>
      </x:c>
      <x:c r="F126" s="153" t="n">
        <x:v>69478</x:v>
      </x:c>
      <x:c r="G126" s="154" t="n">
        <x:f>SUM(D126:F126)</x:f>
        <x:v>69478</x:v>
      </x:c>
      <x:c r="H126" s="155" t="n">
        <x:f>IF(SUMIFS($D$7:$D$286,$A$7:$A$286,A126,$B$7:$B$286,B126)=0,"",D126/SUMIFS($D$7:$D$286,$A$7:$A$286,A126,$B$7:$B$286,B126))</x:f>
        <x:v>0</x:v>
      </x:c>
      <x:c r="I126" s="155" t="n">
        <x:f>IF(SUMIFS($E$7:$E$286,$A$7:$A$286,A126,$B$7:$B$286,B126)=0,"",E126/SUMIFS($E$7:$E$286,$A$7:$A$286,A126,$B$7:$B$286,B126))</x:f>
        <x:v>0</x:v>
      </x:c>
      <x:c r="J126" s="155" t="n">
        <x:f>IF(SUMIFS($F$7:$F$286,$A$7:$A$286,A126,$B$7:$B$286,B126)=0,"",F126/SUMIFS($F$7:$F$286,$A$7:$A$286,A126,$B$7:$B$286,B126))</x:f>
        <x:v>1</x:v>
      </x:c>
      <x:c r="K126" s="155" t="n">
        <x:f>IF(SUMIFS($G$7:$G$286,$A$7:$A$286,A126,$B$7:$B$286,B126)=0,"",G126/SUMIFS($G$7:$G$286,$A$7:$A$286,A126,$B$7:$B$286,B126))</x:f>
        <x:v>0.4451321083519131</x:v>
      </x:c>
      <x:c r="L126" s="1"/>
      <x:c r="M126" s="1"/>
      <x:c r="N126" s="1"/>
      <x:c r="O126" s="1"/>
      <x:c r="P126" s="1"/>
      <x:c r="Q126" s="1"/>
    </x:row>
    <x:row r="127">
      <x:c r="A127" s="151" t="n">
        <x:v>46023</x:v>
      </x:c>
      <x:c r="B127" s="152" t="str">
        <x:v>平日</x:v>
      </x:c>
      <x:c r="C127" s="152" t="str">
        <x:v>08~11歲</x:v>
      </x:c>
      <x:c r="D127" s="40" t="n">
        <x:v>292</x:v>
      </x:c>
      <x:c r="E127" s="40" t="n">
        <x:v>159</x:v>
      </x:c>
      <x:c r="F127" s="153" t="n">
        <x:v>0</x:v>
      </x:c>
      <x:c r="G127" s="154" t="n">
        <x:f>SUM(D127:F127)</x:f>
        <x:v>451</x:v>
      </x:c>
      <x:c r="H127" s="155" t="n">
        <x:f>IF(SUMIFS($D$7:$D$286,$A$7:$A$286,A127,$B$7:$B$286,B127)=0,"",D127/SUMIFS($D$7:$D$286,$A$7:$A$286,A127,$B$7:$B$286,B127))</x:f>
        <x:v>0.0022057712645414717</x:v>
      </x:c>
      <x:c r="I127" s="155" t="n">
        <x:f>IF(SUMIFS($E$7:$E$286,$A$7:$A$286,A127,$B$7:$B$286,B127)=0,"",E127/SUMIFS($E$7:$E$286,$A$7:$A$286,A127,$B$7:$B$286,B127))</x:f>
        <x:v>0.0016520853681344942</x:v>
      </x:c>
      <x:c r="J127" s="155" t="n">
        <x:f>IF(SUMIFS($F$7:$F$286,$A$7:$A$286,A127,$B$7:$B$286,B127)=0,"",F127/SUMIFS($F$7:$F$286,$A$7:$A$286,A127,$B$7:$B$286,B127))</x:f>
        <x:v>0</x:v>
      </x:c>
      <x:c r="K127" s="155" t="n">
        <x:f>IF(SUMIFS($G$7:$G$286,$A$7:$A$286,A127,$B$7:$B$286,B127)=0,"",G127/SUMIFS($G$7:$G$286,$A$7:$A$286,A127,$B$7:$B$286,B127))</x:f>
        <x:v>0.0010534995573433124</x:v>
      </x:c>
      <x:c r="L127" s="1"/>
      <x:c r="M127" s="1"/>
      <x:c r="N127" s="1"/>
      <x:c r="O127" s="1"/>
      <x:c r="P127" s="1"/>
      <x:c r="Q127" s="1"/>
    </x:row>
    <x:row r="128">
      <x:c r="A128" s="151" t="n">
        <x:v>46023</x:v>
      </x:c>
      <x:c r="B128" s="152" t="str">
        <x:v>平日</x:v>
      </x:c>
      <x:c r="C128" s="152" t="str">
        <x:v>12~14歲</x:v>
      </x:c>
      <x:c r="D128" s="40" t="n">
        <x:v>3805</x:v>
      </x:c>
      <x:c r="E128" s="40" t="n">
        <x:v>1144</x:v>
      </x:c>
      <x:c r="F128" s="153" t="n">
        <x:v>0</x:v>
      </x:c>
      <x:c r="G128" s="154" t="n">
        <x:f>SUM(D128:F128)</x:f>
        <x:v>4949</x:v>
      </x:c>
      <x:c r="H128" s="155" t="n">
        <x:f>IF(SUMIFS($D$7:$D$286,$A$7:$A$286,A128,$B$7:$B$286,B128)=0,"",D128/SUMIFS($D$7:$D$286,$A$7:$A$286,A128,$B$7:$B$286,B128))</x:f>
        <x:v>0.02874301253965856</x:v>
      </x:c>
      <x:c r="I128" s="155" t="n">
        <x:f>IF(SUMIFS($E$7:$E$286,$A$7:$A$286,A128,$B$7:$B$286,B128)=0,"",E128/SUMIFS($E$7:$E$286,$A$7:$A$286,A128,$B$7:$B$286,B128))</x:f>
        <x:v>0.01188670227135762</x:v>
      </x:c>
      <x:c r="J128" s="155" t="n">
        <x:f>IF(SUMIFS($F$7:$F$286,$A$7:$A$286,A128,$B$7:$B$286,B128)=0,"",F128/SUMIFS($F$7:$F$286,$A$7:$A$286,A128,$B$7:$B$286,B128))</x:f>
        <x:v>0</x:v>
      </x:c>
      <x:c r="K128" s="155" t="n">
        <x:f>IF(SUMIFS($G$7:$G$286,$A$7:$A$286,A128,$B$7:$B$286,B128)=0,"",G128/SUMIFS($G$7:$G$286,$A$7:$A$286,A128,$B$7:$B$286,B128))</x:f>
        <x:v>0.011560464100425837</x:v>
      </x:c>
      <x:c r="L128" s="1"/>
      <x:c r="M128" s="1"/>
      <x:c r="N128" s="1"/>
      <x:c r="O128" s="1"/>
      <x:c r="P128" s="1"/>
      <x:c r="Q128" s="1"/>
    </x:row>
    <x:row r="129">
      <x:c r="A129" s="151" t="n">
        <x:v>46023</x:v>
      </x:c>
      <x:c r="B129" s="152" t="str">
        <x:v>平日</x:v>
      </x:c>
      <x:c r="C129" s="152" t="str">
        <x:v>15~17歲</x:v>
      </x:c>
      <x:c r="D129" s="40" t="n">
        <x:v>8116</x:v>
      </x:c>
      <x:c r="E129" s="40" t="n">
        <x:v>2635</x:v>
      </x:c>
      <x:c r="F129" s="153" t="n">
        <x:v>0</x:v>
      </x:c>
      <x:c r="G129" s="154" t="n">
        <x:f>SUM(D129:F129)</x:f>
        <x:v>10751</x:v>
      </x:c>
      <x:c r="H129" s="155" t="n">
        <x:f>IF(SUMIFS($D$7:$D$286,$A$7:$A$286,A129,$B$7:$B$286,B129)=0,"",D129/SUMIFS($D$7:$D$286,$A$7:$A$286,A129,$B$7:$B$286,B129))</x:f>
        <x:v>0.06130835473636501</x:v>
      </x:c>
      <x:c r="I129" s="155" t="n">
        <x:f>IF(SUMIFS($E$7:$E$286,$A$7:$A$286,A129,$B$7:$B$286,B129)=0,"",E129/SUMIFS($E$7:$E$286,$A$7:$A$286,A129,$B$7:$B$286,B129))</x:f>
        <x:v>0.02737889902537354</x:v>
      </x:c>
      <x:c r="J129" s="155" t="n">
        <x:f>IF(SUMIFS($F$7:$F$286,$A$7:$A$286,A129,$B$7:$B$286,B129)=0,"",F129/SUMIFS($F$7:$F$286,$A$7:$A$286,A129,$B$7:$B$286,B129))</x:f>
        <x:v>0</x:v>
      </x:c>
      <x:c r="K129" s="155" t="n">
        <x:f>IF(SUMIFS($G$7:$G$286,$A$7:$A$286,A129,$B$7:$B$286,B129)=0,"",G129/SUMIFS($G$7:$G$286,$A$7:$A$286,A129,$B$7:$B$286,B129))</x:f>
        <x:v>0.025113467274940026</x:v>
      </x:c>
      <x:c r="L129" s="1"/>
      <x:c r="M129" s="1"/>
      <x:c r="N129" s="1"/>
      <x:c r="O129" s="1"/>
      <x:c r="P129" s="1"/>
      <x:c r="Q129" s="1"/>
    </x:row>
    <x:row r="130">
      <x:c r="A130" s="151" t="n">
        <x:v>46023</x:v>
      </x:c>
      <x:c r="B130" s="152" t="str">
        <x:v>平日</x:v>
      </x:c>
      <x:c r="C130" s="152" t="str">
        <x:v>18~24歲</x:v>
      </x:c>
      <x:c r="D130" s="40" t="n">
        <x:v>13039</x:v>
      </x:c>
      <x:c r="E130" s="40" t="n">
        <x:v>9433</x:v>
      </x:c>
      <x:c r="F130" s="153" t="n">
        <x:v>0</x:v>
      </x:c>
      <x:c r="G130" s="154" t="n">
        <x:f>SUM(D130:F130)</x:f>
        <x:v>22472</x:v>
      </x:c>
      <x:c r="H130" s="155" t="n">
        <x:f>IF(SUMIFS($D$7:$D$286,$A$7:$A$286,A130,$B$7:$B$286,B130)=0,"",D130/SUMIFS($D$7:$D$286,$A$7:$A$286,A130,$B$7:$B$286,B130))</x:f>
        <x:v>0.09849675177519263</x:v>
      </x:c>
      <x:c r="I130" s="155" t="n">
        <x:f>IF(SUMIFS($E$7:$E$286,$A$7:$A$286,A130,$B$7:$B$286,B130)=0,"",E130/SUMIFS($E$7:$E$286,$A$7:$A$286,A130,$B$7:$B$286,B130))</x:f>
        <x:v>0.09801334136863324</x:v>
      </x:c>
      <x:c r="J130" s="155" t="n">
        <x:f>IF(SUMIFS($F$7:$F$286,$A$7:$A$286,A130,$B$7:$B$286,B130)=0,"",F130/SUMIFS($F$7:$F$286,$A$7:$A$286,A130,$B$7:$B$286,B130))</x:f>
        <x:v>0</x:v>
      </x:c>
      <x:c r="K130" s="155" t="n">
        <x:f>IF(SUMIFS($G$7:$G$286,$A$7:$A$286,A130,$B$7:$B$286,B130)=0,"",G130/SUMIFS($G$7:$G$286,$A$7:$A$286,A130,$B$7:$B$286,B130))</x:f>
        <x:v>0.052492776169886735</x:v>
      </x:c>
      <x:c r="L130" s="1"/>
      <x:c r="M130" s="1"/>
      <x:c r="N130" s="1"/>
      <x:c r="O130" s="1"/>
      <x:c r="P130" s="1"/>
      <x:c r="Q130" s="1"/>
    </x:row>
    <x:row r="131">
      <x:c r="A131" s="151" t="n">
        <x:v>46023</x:v>
      </x:c>
      <x:c r="B131" s="152" t="str">
        <x:v>平日</x:v>
      </x:c>
      <x:c r="C131" s="152" t="str">
        <x:v>25~34歲</x:v>
      </x:c>
      <x:c r="D131" s="40" t="n">
        <x:v>27736</x:v>
      </x:c>
      <x:c r="E131" s="40" t="n">
        <x:v>24026</x:v>
      </x:c>
      <x:c r="F131" s="153" t="n">
        <x:v>0</x:v>
      </x:c>
      <x:c r="G131" s="154" t="n">
        <x:f>SUM(D131:F131)</x:f>
        <x:v>51762</x:v>
      </x:c>
      <x:c r="H131" s="155" t="n">
        <x:f>IF(SUMIFS($D$7:$D$286,$A$7:$A$286,A131,$B$7:$B$286,B131)=0,"",D131/SUMIFS($D$7:$D$286,$A$7:$A$286,A131,$B$7:$B$286,B131))</x:f>
        <x:v>0.20951805408672006</x:v>
      </x:c>
      <x:c r="I131" s="155" t="n">
        <x:f>IF(SUMIFS($E$7:$E$286,$A$7:$A$286,A131,$B$7:$B$286,B131)=0,"",E131/SUMIFS($E$7:$E$286,$A$7:$A$286,A131,$B$7:$B$286,B131))</x:f>
        <x:v>0.24964152864653685</x:v>
      </x:c>
      <x:c r="J131" s="155" t="n">
        <x:f>IF(SUMIFS($F$7:$F$286,$A$7:$A$286,A131,$B$7:$B$286,B131)=0,"",F131/SUMIFS($F$7:$F$286,$A$7:$A$286,A131,$B$7:$B$286,B131))</x:f>
        <x:v>0</x:v>
      </x:c>
      <x:c r="K131" s="155" t="n">
        <x:f>IF(SUMIFS($G$7:$G$286,$A$7:$A$286,A131,$B$7:$B$286,B131)=0,"",G131/SUMIFS($G$7:$G$286,$A$7:$A$286,A131,$B$7:$B$286,B131))</x:f>
        <x:v>0.12091184941730496</x:v>
      </x:c>
      <x:c r="L131" s="1"/>
      <x:c r="M131" s="1"/>
      <x:c r="N131" s="1"/>
      <x:c r="O131" s="1"/>
      <x:c r="P131" s="1"/>
      <x:c r="Q131" s="1"/>
    </x:row>
    <x:row r="132">
      <x:c r="A132" s="151" t="n">
        <x:v>46023</x:v>
      </x:c>
      <x:c r="B132" s="152" t="str">
        <x:v>平日</x:v>
      </x:c>
      <x:c r="C132" s="152" t="str">
        <x:v>35~44歲</x:v>
      </x:c>
      <x:c r="D132" s="40" t="n">
        <x:v>24421</x:v>
      </x:c>
      <x:c r="E132" s="40" t="n">
        <x:v>22992</x:v>
      </x:c>
      <x:c r="F132" s="153" t="n">
        <x:v>0</x:v>
      </x:c>
      <x:c r="G132" s="154" t="n">
        <x:f>SUM(D132:F132)</x:f>
        <x:v>47413</x:v>
      </x:c>
      <x:c r="H132" s="155" t="n">
        <x:f>IF(SUMIFS($D$7:$D$286,$A$7:$A$286,A132,$B$7:$B$286,B132)=0,"",D132/SUMIFS($D$7:$D$286,$A$7:$A$286,A132,$B$7:$B$286,B132))</x:f>
        <x:v>0.18447650702523039</x:v>
      </x:c>
      <x:c r="I132" s="155" t="n">
        <x:f>IF(SUMIFS($E$7:$E$286,$A$7:$A$286,A132,$B$7:$B$286,B132)=0,"",E132/SUMIFS($E$7:$E$286,$A$7:$A$286,A132,$B$7:$B$286,B132))</x:f>
        <x:v>0.23889777851665592</x:v>
      </x:c>
      <x:c r="J132" s="155" t="n">
        <x:f>IF(SUMIFS($F$7:$F$286,$A$7:$A$286,A132,$B$7:$B$286,B132)=0,"",F132/SUMIFS($F$7:$F$286,$A$7:$A$286,A132,$B$7:$B$286,B132))</x:f>
        <x:v>0</x:v>
      </x:c>
      <x:c r="K132" s="155" t="n">
        <x:f>IF(SUMIFS($G$7:$G$286,$A$7:$A$286,A132,$B$7:$B$286,B132)=0,"",G132/SUMIFS($G$7:$G$286,$A$7:$A$286,A132,$B$7:$B$286,B132))</x:f>
        <x:v>0.11075293683440902</x:v>
      </x:c>
      <x:c r="L132" s="1"/>
      <x:c r="M132" s="1"/>
      <x:c r="N132" s="1"/>
      <x:c r="O132" s="1"/>
      <x:c r="P132" s="1"/>
      <x:c r="Q132" s="1"/>
    </x:row>
    <x:row r="133">
      <x:c r="A133" s="151" t="n">
        <x:v>46023</x:v>
      </x:c>
      <x:c r="B133" s="152" t="str">
        <x:v>平日</x:v>
      </x:c>
      <x:c r="C133" s="152" t="str">
        <x:v>45~54歲</x:v>
      </x:c>
      <x:c r="D133" s="40" t="n">
        <x:v>19994</x:v>
      </x:c>
      <x:c r="E133" s="40" t="n">
        <x:v>18897</x:v>
      </x:c>
      <x:c r="F133" s="153" t="n">
        <x:v>0</x:v>
      </x:c>
      <x:c r="G133" s="154" t="n">
        <x:f>SUM(D133:F133)</x:f>
        <x:v>38891</x:v>
      </x:c>
      <x:c r="H133" s="155" t="n">
        <x:f>IF(SUMIFS($D$7:$D$286,$A$7:$A$286,A133,$B$7:$B$286,B133)=0,"",D133/SUMIFS($D$7:$D$286,$A$7:$A$286,A133,$B$7:$B$286,B133))</x:f>
        <x:v>0.1510348995316513</x:v>
      </x:c>
      <x:c r="I133" s="155" t="n">
        <x:f>IF(SUMIFS($E$7:$E$286,$A$7:$A$286,A133,$B$7:$B$286,B133)=0,"",E133/SUMIFS($E$7:$E$286,$A$7:$A$286,A133,$B$7:$B$286,B133))</x:f>
        <x:v>0.19634878743168263</x:v>
      </x:c>
      <x:c r="J133" s="155" t="n">
        <x:f>IF(SUMIFS($F$7:$F$286,$A$7:$A$286,A133,$B$7:$B$286,B133)=0,"",F133/SUMIFS($F$7:$F$286,$A$7:$A$286,A133,$B$7:$B$286,B133))</x:f>
        <x:v>0</x:v>
      </x:c>
      <x:c r="K133" s="155" t="n">
        <x:f>IF(SUMIFS($G$7:$G$286,$A$7:$A$286,A133,$B$7:$B$286,B133)=0,"",G133/SUMIFS($G$7:$G$286,$A$7:$A$286,A133,$B$7:$B$286,B133))</x:f>
        <x:v>0.0908462334470926</x:v>
      </x:c>
      <x:c r="L133" s="1"/>
      <x:c r="M133" s="1"/>
      <x:c r="N133" s="1"/>
      <x:c r="O133" s="1"/>
      <x:c r="P133" s="1"/>
      <x:c r="Q133" s="1"/>
    </x:row>
    <x:row r="134">
      <x:c r="A134" s="151" t="n">
        <x:v>46023</x:v>
      </x:c>
      <x:c r="B134" s="152" t="str">
        <x:v>平日</x:v>
      </x:c>
      <x:c r="C134" s="152" t="str">
        <x:v>55~64歲</x:v>
      </x:c>
      <x:c r="D134" s="40" t="n">
        <x:v>12602</x:v>
      </x:c>
      <x:c r="E134" s="40" t="n">
        <x:v>9325</x:v>
      </x:c>
      <x:c r="F134" s="153" t="n">
        <x:v>0</x:v>
      </x:c>
      <x:c r="G134" s="154" t="n">
        <x:f>SUM(D134:F134)</x:f>
        <x:v>21927</x:v>
      </x:c>
      <x:c r="H134" s="155" t="n">
        <x:f>IF(SUMIFS($D$7:$D$286,$A$7:$A$286,A134,$B$7:$B$286,B134)=0,"",D134/SUMIFS($D$7:$D$286,$A$7:$A$286,A134,$B$7:$B$286,B134))</x:f>
        <x:v>0.09519564888956035</x:v>
      </x:c>
      <x:c r="I134" s="155" t="n">
        <x:f>IF(SUMIFS($E$7:$E$286,$A$7:$A$286,A134,$B$7:$B$286,B134)=0,"",E134/SUMIFS($E$7:$E$286,$A$7:$A$286,A134,$B$7:$B$286,B134))</x:f>
        <x:v>0.0968911701751834</x:v>
      </x:c>
      <x:c r="J134" s="155" t="n">
        <x:f>IF(SUMIFS($F$7:$F$286,$A$7:$A$286,A134,$B$7:$B$286,B134)=0,"",F134/SUMIFS($F$7:$F$286,$A$7:$A$286,A134,$B$7:$B$286,B134))</x:f>
        <x:v>0</x:v>
      </x:c>
      <x:c r="K134" s="155" t="n">
        <x:f>IF(SUMIFS($G$7:$G$286,$A$7:$A$286,A134,$B$7:$B$286,B134)=0,"",G134/SUMIFS($G$7:$G$286,$A$7:$A$286,A134,$B$7:$B$286,B134))</x:f>
        <x:v>0.0512197002081304</x:v>
      </x:c>
      <x:c r="L134" s="1"/>
      <x:c r="M134" s="1"/>
      <x:c r="N134" s="1"/>
      <x:c r="O134" s="1"/>
      <x:c r="P134" s="1"/>
      <x:c r="Q134" s="1"/>
    </x:row>
    <x:row r="135">
      <x:c r="A135" s="151" t="n">
        <x:v>46023</x:v>
      </x:c>
      <x:c r="B135" s="152" t="str">
        <x:v>平日</x:v>
      </x:c>
      <x:c r="C135" s="152" t="str">
        <x:v>65~100歲</x:v>
      </x:c>
      <x:c r="D135" s="40" t="n">
        <x:v>22375</x:v>
      </x:c>
      <x:c r="E135" s="40" t="n">
        <x:v>7631</x:v>
      </x:c>
      <x:c r="F135" s="153" t="n">
        <x:v>0</x:v>
      </x:c>
      <x:c r="G135" s="154" t="n">
        <x:f>SUM(D135:F135)</x:f>
        <x:v>30006</x:v>
      </x:c>
      <x:c r="H135" s="155" t="n">
        <x:f>IF(SUMIFS($D$7:$D$286,$A$7:$A$286,A135,$B$7:$B$286,B135)=0,"",D135/SUMIFS($D$7:$D$286,$A$7:$A$286,A135,$B$7:$B$286,B135))</x:f>
        <x:v>0.16902100015108024</x:v>
      </x:c>
      <x:c r="I135" s="155" t="n">
        <x:f>IF(SUMIFS($E$7:$E$286,$A$7:$A$286,A135,$B$7:$B$286,B135)=0,"",E135/SUMIFS($E$7:$E$286,$A$7:$A$286,A135,$B$7:$B$286,B135))</x:f>
        <x:v>0.07928970719644231</x:v>
      </x:c>
      <x:c r="J135" s="155" t="n">
        <x:f>IF(SUMIFS($F$7:$F$286,$A$7:$A$286,A135,$B$7:$B$286,B135)=0,"",F135/SUMIFS($F$7:$F$286,$A$7:$A$286,A135,$B$7:$B$286,B135))</x:f>
        <x:v>0</x:v>
      </x:c>
      <x:c r="K135" s="155" t="n">
        <x:f>IF(SUMIFS($G$7:$G$286,$A$7:$A$286,A135,$B$7:$B$286,B135)=0,"",G135/SUMIFS($G$7:$G$286,$A$7:$A$286,A135,$B$7:$B$286,B135))</x:f>
        <x:v>0.07009159139167058</x:v>
      </x:c>
      <x:c r="L135" s="1"/>
      <x:c r="M135" s="1"/>
      <x:c r="N135" s="1"/>
      <x:c r="O135" s="1"/>
      <x:c r="P135" s="1"/>
      <x:c r="Q135" s="1"/>
    </x:row>
    <x:row r="136">
      <x:c r="A136" s="151" t="n">
        <x:v>46023</x:v>
      </x:c>
      <x:c r="B136" s="152" t="str">
        <x:v>平日</x:v>
      </x:c>
      <x:c r="C136" s="152" t="str">
        <x:v>未投保或資料有誤</x:v>
      </x:c>
      <x:c r="D136" s="40" t="n">
        <x:v>0</x:v>
      </x:c>
      <x:c r="E136" s="40" t="n">
        <x:v>0</x:v>
      </x:c>
      <x:c r="F136" s="153" t="n">
        <x:v>199475</x:v>
      </x:c>
      <x:c r="G136" s="154" t="n">
        <x:f>SUM(D136:F136)</x:f>
        <x:v>199475</x:v>
      </x:c>
      <x:c r="H136" s="155" t="n">
        <x:f>IF(SUMIFS($D$7:$D$286,$A$7:$A$286,A136,$B$7:$B$286,B136)=0,"",D136/SUMIFS($D$7:$D$286,$A$7:$A$286,A136,$B$7:$B$286,B136))</x:f>
        <x:v>0</x:v>
      </x:c>
      <x:c r="I136" s="155" t="n">
        <x:f>IF(SUMIFS($E$7:$E$286,$A$7:$A$286,A136,$B$7:$B$286,B136)=0,"",E136/SUMIFS($E$7:$E$286,$A$7:$A$286,A136,$B$7:$B$286,B136))</x:f>
        <x:v>0</x:v>
      </x:c>
      <x:c r="J136" s="155" t="n">
        <x:f>IF(SUMIFS($F$7:$F$286,$A$7:$A$286,A136,$B$7:$B$286,B136)=0,"",F136/SUMIFS($F$7:$F$286,$A$7:$A$286,A136,$B$7:$B$286,B136))</x:f>
        <x:v>1</x:v>
      </x:c>
      <x:c r="K136" s="155" t="n">
        <x:f>IF(SUMIFS($G$7:$G$286,$A$7:$A$286,A136,$B$7:$B$286,B136)=0,"",G136/SUMIFS($G$7:$G$286,$A$7:$A$286,A136,$B$7:$B$286,B136))</x:f>
        <x:v>0.4659574815987965</x:v>
      </x:c>
      <x:c r="L136" s="1"/>
      <x:c r="M136" s="1"/>
      <x:c r="N136" s="1"/>
      <x:c r="O136" s="1"/>
      <x:c r="P136" s="1"/>
      <x:c r="Q136" s="1"/>
    </x:row>
    <x:row r="137">
      <x:c r="A137" s="151" t="n">
        <x:v>46023</x:v>
      </x:c>
      <x:c r="B137" s="152" t="str">
        <x:v>假日</x:v>
      </x:c>
      <x:c r="C137" s="152" t="str">
        <x:v>08~11歲</x:v>
      </x:c>
      <x:c r="D137" s="40" t="n">
        <x:v>169</x:v>
      </x:c>
      <x:c r="E137" s="40" t="n">
        <x:v>70</x:v>
      </x:c>
      <x:c r="F137" s="153" t="n">
        <x:v>0</x:v>
      </x:c>
      <x:c r="G137" s="154" t="n">
        <x:f>SUM(D137:F137)</x:f>
        <x:v>239</x:v>
      </x:c>
      <x:c r="H137" s="155" t="n">
        <x:f>IF(SUMIFS($D$7:$D$286,$A$7:$A$286,A137,$B$7:$B$286,B137)=0,"",D137/SUMIFS($D$7:$D$286,$A$7:$A$286,A137,$B$7:$B$286,B137))</x:f>
        <x:v>0.0029025831272327563</x:v>
      </x:c>
      <x:c r="I137" s="155" t="n">
        <x:f>IF(SUMIFS($E$7:$E$286,$A$7:$A$286,A137,$B$7:$B$286,B137)=0,"",E137/SUMIFS($E$7:$E$286,$A$7:$A$286,A137,$B$7:$B$286,B137))</x:f>
        <x:v>0.0017666952703043763</x:v>
      </x:c>
      <x:c r="J137" s="155" t="n">
        <x:f>IF(SUMIFS($F$7:$F$286,$A$7:$A$286,A137,$B$7:$B$286,B137)=0,"",F137/SUMIFS($F$7:$F$286,$A$7:$A$286,A137,$B$7:$B$286,B137))</x:f>
        <x:v>0</x:v>
      </x:c>
      <x:c r="K137" s="155" t="n">
        <x:f>IF(SUMIFS($G$7:$G$286,$A$7:$A$286,A137,$B$7:$B$286,B137)=0,"",G137/SUMIFS($G$7:$G$286,$A$7:$A$286,A137,$B$7:$B$286,B137))</x:f>
        <x:v>0.0012811922056340293</x:v>
      </x:c>
      <x:c r="L137" s="1"/>
      <x:c r="M137" s="1"/>
      <x:c r="N137" s="1"/>
      <x:c r="O137" s="1"/>
      <x:c r="P137" s="1"/>
      <x:c r="Q137" s="1"/>
    </x:row>
    <x:row r="138">
      <x:c r="A138" s="151" t="n">
        <x:v>46023</x:v>
      </x:c>
      <x:c r="B138" s="152" t="str">
        <x:v>假日</x:v>
      </x:c>
      <x:c r="C138" s="152" t="str">
        <x:v>12~14歲</x:v>
      </x:c>
      <x:c r="D138" s="40" t="n">
        <x:v>1379</x:v>
      </x:c>
      <x:c r="E138" s="40" t="n">
        <x:v>448</x:v>
      </x:c>
      <x:c r="F138" s="153" t="n">
        <x:v>0</x:v>
      </x:c>
      <x:c r="G138" s="154" t="n">
        <x:f>SUM(D138:F138)</x:f>
        <x:v>1827</x:v>
      </x:c>
      <x:c r="H138" s="155" t="n">
        <x:f>IF(SUMIFS($D$7:$D$286,$A$7:$A$286,A138,$B$7:$B$286,B138)=0,"",D138/SUMIFS($D$7:$D$286,$A$7:$A$286,A138,$B$7:$B$286,B138))</x:f>
        <x:v>0.023684391316295687</x:v>
      </x:c>
      <x:c r="I138" s="155" t="n">
        <x:f>IF(SUMIFS($E$7:$E$286,$A$7:$A$286,A138,$B$7:$B$286,B138)=0,"",E138/SUMIFS($E$7:$E$286,$A$7:$A$286,A138,$B$7:$B$286,B138))</x:f>
        <x:v>0.011306849729948009</x:v>
      </x:c>
      <x:c r="J138" s="155" t="n">
        <x:f>IF(SUMIFS($F$7:$F$286,$A$7:$A$286,A138,$B$7:$B$286,B138)=0,"",F138/SUMIFS($F$7:$F$286,$A$7:$A$286,A138,$B$7:$B$286,B138))</x:f>
        <x:v>0</x:v>
      </x:c>
      <x:c r="K138" s="155" t="n">
        <x:f>IF(SUMIFS($G$7:$G$286,$A$7:$A$286,A138,$B$7:$B$286,B138)=0,"",G138/SUMIFS($G$7:$G$286,$A$7:$A$286,A138,$B$7:$B$286,B138))</x:f>
        <x:v>0.009793883513361388</x:v>
      </x:c>
      <x:c r="L138" s="1"/>
      <x:c r="M138" s="1"/>
      <x:c r="N138" s="1"/>
      <x:c r="O138" s="1"/>
      <x:c r="P138" s="1"/>
      <x:c r="Q138" s="1"/>
    </x:row>
    <x:row r="139">
      <x:c r="A139" s="151" t="n">
        <x:v>46023</x:v>
      </x:c>
      <x:c r="B139" s="152" t="str">
        <x:v>假日</x:v>
      </x:c>
      <x:c r="C139" s="152" t="str">
        <x:v>15~17歲</x:v>
      </x:c>
      <x:c r="D139" s="40" t="n">
        <x:v>2406</x:v>
      </x:c>
      <x:c r="E139" s="40" t="n">
        <x:v>909</x:v>
      </x:c>
      <x:c r="F139" s="153" t="n">
        <x:v>0</x:v>
      </x:c>
      <x:c r="G139" s="154" t="n">
        <x:f>SUM(D139:F139)</x:f>
        <x:v>3315</x:v>
      </x:c>
      <x:c r="H139" s="155" t="n">
        <x:f>IF(SUMIFS($D$7:$D$286,$A$7:$A$286,A139,$B$7:$B$286,B139)=0,"",D139/SUMIFS($D$7:$D$286,$A$7:$A$286,A139,$B$7:$B$286,B139))</x:f>
        <x:v>0.041323165704863975</x:v>
      </x:c>
      <x:c r="I139" s="155" t="n">
        <x:f>IF(SUMIFS($E$7:$E$286,$A$7:$A$286,A139,$B$7:$B$286,B139)=0,"",E139/SUMIFS($E$7:$E$286,$A$7:$A$286,A139,$B$7:$B$286,B139))</x:f>
        <x:v>0.022941800010095402</x:v>
      </x:c>
      <x:c r="J139" s="155" t="n">
        <x:f>IF(SUMIFS($F$7:$F$286,$A$7:$A$286,A139,$B$7:$B$286,B139)=0,"",F139/SUMIFS($F$7:$F$286,$A$7:$A$286,A139,$B$7:$B$286,B139))</x:f>
        <x:v>0</x:v>
      </x:c>
      <x:c r="K139" s="155" t="n">
        <x:f>IF(SUMIFS($G$7:$G$286,$A$7:$A$286,A139,$B$7:$B$286,B139)=0,"",G139/SUMIFS($G$7:$G$286,$A$7:$A$286,A139,$B$7:$B$286,B139))</x:f>
        <x:v>0.017770511136723042</x:v>
      </x:c>
      <x:c r="L139" s="1"/>
      <x:c r="M139" s="1"/>
      <x:c r="N139" s="1"/>
      <x:c r="O139" s="1"/>
      <x:c r="P139" s="1"/>
      <x:c r="Q139" s="1"/>
    </x:row>
    <x:row r="140">
      <x:c r="A140" s="151" t="n">
        <x:v>46023</x:v>
      </x:c>
      <x:c r="B140" s="152" t="str">
        <x:v>假日</x:v>
      </x:c>
      <x:c r="C140" s="152" t="str">
        <x:v>18~24歲</x:v>
      </x:c>
      <x:c r="D140" s="40" t="n">
        <x:v>5091</x:v>
      </x:c>
      <x:c r="E140" s="40" t="n">
        <x:v>3729</x:v>
      </x:c>
      <x:c r="F140" s="153" t="n">
        <x:v>0</x:v>
      </x:c>
      <x:c r="G140" s="154" t="n">
        <x:f>SUM(D140:F140)</x:f>
        <x:v>8820</x:v>
      </x:c>
      <x:c r="H140" s="155" t="n">
        <x:f>IF(SUMIFS($D$7:$D$286,$A$7:$A$286,A140,$B$7:$B$286,B140)=0,"",D140/SUMIFS($D$7:$D$286,$A$7:$A$286,A140,$B$7:$B$286,B140))</x:f>
        <x:v>0.08743816982687551</x:v>
      </x:c>
      <x:c r="I140" s="155" t="n">
        <x:f>IF(SUMIFS($E$7:$E$286,$A$7:$A$286,A140,$B$7:$B$286,B140)=0,"",E140/SUMIFS($E$7:$E$286,$A$7:$A$286,A140,$B$7:$B$286,B140))</x:f>
        <x:v>0.09411438089950028</x:v>
      </x:c>
      <x:c r="J140" s="155" t="n">
        <x:f>IF(SUMIFS($F$7:$F$286,$A$7:$A$286,A140,$B$7:$B$286,B140)=0,"",F140/SUMIFS($F$7:$F$286,$A$7:$A$286,A140,$B$7:$B$286,B140))</x:f>
        <x:v>0</x:v>
      </x:c>
      <x:c r="K140" s="155" t="n">
        <x:f>IF(SUMIFS($G$7:$G$286,$A$7:$A$286,A140,$B$7:$B$286,B140)=0,"",G140/SUMIFS($G$7:$G$286,$A$7:$A$286,A140,$B$7:$B$286,B140))</x:f>
        <x:v>0.047280816961054975</x:v>
      </x:c>
      <x:c r="L140" s="1"/>
      <x:c r="M140" s="1"/>
      <x:c r="N140" s="1"/>
      <x:c r="O140" s="1"/>
      <x:c r="P140" s="1"/>
      <x:c r="Q140" s="1"/>
    </x:row>
    <x:row r="141">
      <x:c r="A141" s="151" t="n">
        <x:v>46023</x:v>
      </x:c>
      <x:c r="B141" s="152" t="str">
        <x:v>假日</x:v>
      </x:c>
      <x:c r="C141" s="152" t="str">
        <x:v>25~34歲</x:v>
      </x:c>
      <x:c r="D141" s="40" t="n">
        <x:v>11954</x:v>
      </x:c>
      <x:c r="E141" s="40" t="n">
        <x:v>9362</x:v>
      </x:c>
      <x:c r="F141" s="153" t="n">
        <x:v>0</x:v>
      </x:c>
      <x:c r="G141" s="154" t="n">
        <x:f>SUM(D141:F141)</x:f>
        <x:v>21316</x:v>
      </x:c>
      <x:c r="H141" s="155" t="n">
        <x:f>IF(SUMIFS($D$7:$D$286,$A$7:$A$286,A141,$B$7:$B$286,B141)=0,"",D141/SUMIFS($D$7:$D$286,$A$7:$A$286,A141,$B$7:$B$286,B141))</x:f>
        <x:v>0.20531052486946963</x:v>
      </x:c>
      <x:c r="I141" s="155" t="n">
        <x:f>IF(SUMIFS($E$7:$E$286,$A$7:$A$286,A141,$B$7:$B$286,B141)=0,"",E141/SUMIFS($E$7:$E$286,$A$7:$A$286,A141,$B$7:$B$286,B141))</x:f>
        <x:v>0.2362828731512796</x:v>
      </x:c>
      <x:c r="J141" s="155" t="n">
        <x:f>IF(SUMIFS($F$7:$F$286,$A$7:$A$286,A141,$B$7:$B$286,B141)=0,"",F141/SUMIFS($F$7:$F$286,$A$7:$A$286,A141,$B$7:$B$286,B141))</x:f>
        <x:v>0</x:v>
      </x:c>
      <x:c r="K141" s="155" t="n">
        <x:f>IF(SUMIFS($G$7:$G$286,$A$7:$A$286,A141,$B$7:$B$286,B141)=0,"",G141/SUMIFS($G$7:$G$286,$A$7:$A$286,A141,$B$7:$B$286,B141))</x:f>
        <x:v>0.11426733495939317</x:v>
      </x:c>
      <x:c r="L141" s="1"/>
      <x:c r="M141" s="1"/>
      <x:c r="N141" s="1"/>
      <x:c r="O141" s="1"/>
      <x:c r="P141" s="1"/>
      <x:c r="Q141" s="1"/>
    </x:row>
    <x:row r="142">
      <x:c r="A142" s="151" t="n">
        <x:v>46023</x:v>
      </x:c>
      <x:c r="B142" s="152" t="str">
        <x:v>假日</x:v>
      </x:c>
      <x:c r="C142" s="152" t="str">
        <x:v>35~44歲</x:v>
      </x:c>
      <x:c r="D142" s="40" t="n">
        <x:v>10784</x:v>
      </x:c>
      <x:c r="E142" s="40" t="n">
        <x:v>8502</x:v>
      </x:c>
      <x:c r="F142" s="153" t="n">
        <x:v>0</x:v>
      </x:c>
      <x:c r="G142" s="154" t="n">
        <x:f>SUM(D142:F142)</x:f>
        <x:v>19286</x:v>
      </x:c>
      <x:c r="H142" s="155" t="n">
        <x:f>IF(SUMIFS($D$7:$D$286,$A$7:$A$286,A142,$B$7:$B$286,B142)=0,"",D142/SUMIFS($D$7:$D$286,$A$7:$A$286,A142,$B$7:$B$286,B142))</x:f>
        <x:v>0.1852157186040121</x:v>
      </x:c>
      <x:c r="I142" s="155" t="n">
        <x:f>IF(SUMIFS($E$7:$E$286,$A$7:$A$286,A142,$B$7:$B$286,B142)=0,"",E142/SUMIFS($E$7:$E$286,$A$7:$A$286,A142,$B$7:$B$286,B142))</x:f>
        <x:v>0.21457775983039726</x:v>
      </x:c>
      <x:c r="J142" s="155" t="n">
        <x:f>IF(SUMIFS($F$7:$F$286,$A$7:$A$286,A142,$B$7:$B$286,B142)=0,"",F142/SUMIFS($F$7:$F$286,$A$7:$A$286,A142,$B$7:$B$286,B142))</x:f>
        <x:v>0</x:v>
      </x:c>
      <x:c r="K142" s="155" t="n">
        <x:f>IF(SUMIFS($G$7:$G$286,$A$7:$A$286,A142,$B$7:$B$286,B142)=0,"",G142/SUMIFS($G$7:$G$286,$A$7:$A$286,A142,$B$7:$B$286,B142))</x:f>
        <x:v>0.1033852421667694</x:v>
      </x:c>
      <x:c r="L142" s="1"/>
      <x:c r="M142" s="1"/>
      <x:c r="N142" s="1"/>
      <x:c r="O142" s="1"/>
      <x:c r="P142" s="1"/>
      <x:c r="Q142" s="1"/>
    </x:row>
    <x:row r="143">
      <x:c r="A143" s="151" t="n">
        <x:v>46023</x:v>
      </x:c>
      <x:c r="B143" s="152" t="str">
        <x:v>假日</x:v>
      </x:c>
      <x:c r="C143" s="152" t="str">
        <x:v>45~54歲</x:v>
      </x:c>
      <x:c r="D143" s="40" t="n">
        <x:v>9774</x:v>
      </x:c>
      <x:c r="E143" s="40" t="n">
        <x:v>8694</x:v>
      </x:c>
      <x:c r="F143" s="153" t="n">
        <x:v>0</x:v>
      </x:c>
      <x:c r="G143" s="154" t="n">
        <x:f>SUM(D143:F143)</x:f>
        <x:v>18468</x:v>
      </x:c>
      <x:c r="H143" s="155" t="n">
        <x:f>IF(SUMIFS($D$7:$D$286,$A$7:$A$286,A143,$B$7:$B$286,B143)=0,"",D143/SUMIFS($D$7:$D$286,$A$7:$A$286,A143,$B$7:$B$286,B143))</x:f>
        <x:v>0.1678689200329761</x:v>
      </x:c>
      <x:c r="I143" s="155" t="n">
        <x:f>IF(SUMIFS($E$7:$E$286,$A$7:$A$286,A143,$B$7:$B$286,B143)=0,"",E143/SUMIFS($E$7:$E$286,$A$7:$A$286,A143,$B$7:$B$286,B143))</x:f>
        <x:v>0.21942355257180354</x:v>
      </x:c>
      <x:c r="J143" s="155" t="n">
        <x:f>IF(SUMIFS($F$7:$F$286,$A$7:$A$286,A143,$B$7:$B$286,B143)=0,"",F143/SUMIFS($F$7:$F$286,$A$7:$A$286,A143,$B$7:$B$286,B143))</x:f>
        <x:v>0</x:v>
      </x:c>
      <x:c r="K143" s="155" t="n">
        <x:f>IF(SUMIFS($G$7:$G$286,$A$7:$A$286,A143,$B$7:$B$286,B143)=0,"",G143/SUMIFS($G$7:$G$286,$A$7:$A$286,A143,$B$7:$B$286,B143))</x:f>
        <x:v>0.09900024122865797</x:v>
      </x:c>
      <x:c r="L143" s="1"/>
      <x:c r="M143" s="1"/>
      <x:c r="N143" s="1"/>
      <x:c r="O143" s="1"/>
      <x:c r="P143" s="1"/>
      <x:c r="Q143" s="1"/>
    </x:row>
    <x:row r="144">
      <x:c r="A144" s="151" t="n">
        <x:v>46023</x:v>
      </x:c>
      <x:c r="B144" s="152" t="str">
        <x:v>假日</x:v>
      </x:c>
      <x:c r="C144" s="152" t="str">
        <x:v>55~64歲</x:v>
      </x:c>
      <x:c r="D144" s="40" t="n">
        <x:v>6021</x:v>
      </x:c>
      <x:c r="E144" s="40" t="n">
        <x:v>4394</x:v>
      </x:c>
      <x:c r="F144" s="153" t="n">
        <x:v>0</x:v>
      </x:c>
      <x:c r="G144" s="154" t="n">
        <x:f>SUM(D144:F144)</x:f>
        <x:v>10415</x:v>
      </x:c>
      <x:c r="H144" s="155" t="n">
        <x:f>IF(SUMIFS($D$7:$D$286,$A$7:$A$286,A144,$B$7:$B$286,B144)=0,"",D144/SUMIFS($D$7:$D$286,$A$7:$A$286,A144,$B$7:$B$286,B144))</x:f>
        <x:v>0.10341096455070074</x:v>
      </x:c>
      <x:c r="I144" s="155" t="n">
        <x:f>IF(SUMIFS($E$7:$E$286,$A$7:$A$286,A144,$B$7:$B$286,B144)=0,"",E144/SUMIFS($E$7:$E$286,$A$7:$A$286,A144,$B$7:$B$286,B144))</x:f>
        <x:v>0.11089798596739185</x:v>
      </x:c>
      <x:c r="J144" s="155" t="n">
        <x:f>IF(SUMIFS($F$7:$F$286,$A$7:$A$286,A144,$B$7:$B$286,B144)=0,"",F144/SUMIFS($F$7:$F$286,$A$7:$A$286,A144,$B$7:$B$286,B144))</x:f>
        <x:v>0</x:v>
      </x:c>
      <x:c r="K144" s="155" t="n">
        <x:f>IF(SUMIFS($G$7:$G$286,$A$7:$A$286,A144,$B$7:$B$286,B144)=0,"",G144/SUMIFS($G$7:$G$286,$A$7:$A$286,A144,$B$7:$B$286,B144))</x:f>
        <x:v>0.05583103272668793</x:v>
      </x:c>
      <x:c r="L144" s="1"/>
      <x:c r="M144" s="1"/>
      <x:c r="N144" s="1"/>
      <x:c r="O144" s="1"/>
      <x:c r="P144" s="1"/>
      <x:c r="Q144" s="1"/>
    </x:row>
    <x:row r="145">
      <x:c r="A145" s="151" t="n">
        <x:v>46023</x:v>
      </x:c>
      <x:c r="B145" s="152" t="str">
        <x:v>假日</x:v>
      </x:c>
      <x:c r="C145" s="152" t="str">
        <x:v>65~100歲</x:v>
      </x:c>
      <x:c r="D145" s="40" t="n">
        <x:v>10646</x:v>
      </x:c>
      <x:c r="E145" s="40" t="n">
        <x:v>3514</x:v>
      </x:c>
      <x:c r="F145" s="153" t="n">
        <x:v>0</x:v>
      </x:c>
      <x:c r="G145" s="154" t="n">
        <x:f>SUM(D145:F145)</x:f>
        <x:v>14160</x:v>
      </x:c>
      <x:c r="H145" s="155" t="n">
        <x:f>IF(SUMIFS($D$7:$D$286,$A$7:$A$286,A145,$B$7:$B$286,B145)=0,"",D145/SUMIFS($D$7:$D$286,$A$7:$A$286,A145,$B$7:$B$286,B145))</x:f>
        <x:v>0.1828455619675735</x:v>
      </x:c>
      <x:c r="I145" s="155" t="n">
        <x:f>IF(SUMIFS($E$7:$E$286,$A$7:$A$286,A145,$B$7:$B$286,B145)=0,"",E145/SUMIFS($E$7:$E$286,$A$7:$A$286,A145,$B$7:$B$286,B145))</x:f>
        <x:v>0.0886881025692797</x:v>
      </x:c>
      <x:c r="J145" s="155" t="n">
        <x:f>IF(SUMIFS($F$7:$F$286,$A$7:$A$286,A145,$B$7:$B$286,B145)=0,"",F145/SUMIFS($F$7:$F$286,$A$7:$A$286,A145,$B$7:$B$286,B145))</x:f>
        <x:v>0</x:v>
      </x:c>
      <x:c r="K145" s="155" t="n">
        <x:f>IF(SUMIFS($G$7:$G$286,$A$7:$A$286,A145,$B$7:$B$286,B145)=0,"",G145/SUMIFS($G$7:$G$286,$A$7:$A$286,A145,$B$7:$B$286,B145))</x:f>
        <x:v>0.0759066177061835</x:v>
      </x:c>
      <x:c r="L145" s="1"/>
      <x:c r="M145" s="1"/>
      <x:c r="N145" s="1"/>
      <x:c r="O145" s="1"/>
      <x:c r="P145" s="1"/>
      <x:c r="Q145" s="1"/>
    </x:row>
    <x:row r="146">
      <x:c r="A146" s="151" t="n">
        <x:v>46023</x:v>
      </x:c>
      <x:c r="B146" s="152" t="str">
        <x:v>假日</x:v>
      </x:c>
      <x:c r="C146" s="152" t="str">
        <x:v>未投保或資料有誤</x:v>
      </x:c>
      <x:c r="D146" s="40" t="n">
        <x:v>0</x:v>
      </x:c>
      <x:c r="E146" s="40" t="n">
        <x:v>0</x:v>
      </x:c>
      <x:c r="F146" s="153" t="n">
        <x:v>88699</x:v>
      </x:c>
      <x:c r="G146" s="154" t="n">
        <x:f>SUM(D146:F146)</x:f>
        <x:v>88699</x:v>
      </x:c>
      <x:c r="H146" s="155" t="n">
        <x:f>IF(SUMIFS($D$7:$D$286,$A$7:$A$286,A146,$B$7:$B$286,B146)=0,"",D146/SUMIFS($D$7:$D$286,$A$7:$A$286,A146,$B$7:$B$286,B146))</x:f>
        <x:v>0</x:v>
      </x:c>
      <x:c r="I146" s="155" t="n">
        <x:f>IF(SUMIFS($E$7:$E$286,$A$7:$A$286,A146,$B$7:$B$286,B146)=0,"",E146/SUMIFS($E$7:$E$286,$A$7:$A$286,A146,$B$7:$B$286,B146))</x:f>
        <x:v>0</x:v>
      </x:c>
      <x:c r="J146" s="155" t="n">
        <x:f>IF(SUMIFS($F$7:$F$286,$A$7:$A$286,A146,$B$7:$B$286,B146)=0,"",F146/SUMIFS($F$7:$F$286,$A$7:$A$286,A146,$B$7:$B$286,B146))</x:f>
        <x:v>1</x:v>
      </x:c>
      <x:c r="K146" s="155" t="n">
        <x:f>IF(SUMIFS($G$7:$G$286,$A$7:$A$286,A146,$B$7:$B$286,B146)=0,"",G146/SUMIFS($G$7:$G$286,$A$7:$A$286,A146,$B$7:$B$286,B146))</x:f>
        <x:v>0.4754831273955346</x:v>
      </x:c>
      <x:c r="L146" s="1"/>
      <x:c r="M146" s="1"/>
      <x:c r="N146" s="1"/>
      <x:c r="O146" s="1"/>
      <x:c r="P146" s="1"/>
      <x:c r="Q146" s="1"/>
    </x:row>
    <x:row r="147">
      <x:c r="A147" s="151" t="n">
        <x:v>46054</x:v>
      </x:c>
      <x:c r="B147" s="152" t="str">
        <x:v>平日</x:v>
      </x:c>
      <x:c r="C147" s="152" t="str">
        <x:v>08~11歲</x:v>
      </x:c>
      <x:c r="D147" s="40" t="n">
        <x:v>355</x:v>
      </x:c>
      <x:c r="E147" s="40" t="n">
        <x:v>108</x:v>
      </x:c>
      <x:c r="F147" s="153" t="n">
        <x:v>0</x:v>
      </x:c>
      <x:c r="G147" s="154" t="n">
        <x:f>SUM(D147:F147)</x:f>
        <x:v>463</x:v>
      </x:c>
      <x:c r="H147" s="155" t="n">
        <x:f>IF(SUMIFS($D$7:$D$286,$A$7:$A$286,A147,$B$7:$B$286,B147)=0,"",D147/SUMIFS($D$7:$D$286,$A$7:$A$286,A147,$B$7:$B$286,B147))</x:f>
        <x:v>0.0027654867256637168</x:v>
      </x:c>
      <x:c r="I147" s="155" t="n">
        <x:f>IF(SUMIFS($E$7:$E$286,$A$7:$A$286,A147,$B$7:$B$286,B147)=0,"",E147/SUMIFS($E$7:$E$286,$A$7:$A$286,A147,$B$7:$B$286,B147))</x:f>
        <x:v>0.0011887596173955157</x:v>
      </x:c>
      <x:c r="J147" s="155" t="n">
        <x:f>IF(SUMIFS($F$7:$F$286,$A$7:$A$286,A147,$B$7:$B$286,B147)=0,"",F147/SUMIFS($F$7:$F$286,$A$7:$A$286,A147,$B$7:$B$286,B147))</x:f>
        <x:v>0</x:v>
      </x:c>
      <x:c r="K147" s="155" t="n">
        <x:f>IF(SUMIFS($G$7:$G$286,$A$7:$A$286,A147,$B$7:$B$286,B147)=0,"",G147/SUMIFS($G$7:$G$286,$A$7:$A$286,A147,$B$7:$B$286,B147))</x:f>
        <x:v>0.0010889377565059914</x:v>
      </x:c>
      <x:c r="L147" s="1"/>
      <x:c r="M147" s="1"/>
      <x:c r="N147" s="1"/>
      <x:c r="O147" s="1"/>
      <x:c r="P147" s="1"/>
      <x:c r="Q147" s="1"/>
    </x:row>
    <x:row r="148">
      <x:c r="A148" s="151" t="n">
        <x:v>46054</x:v>
      </x:c>
      <x:c r="B148" s="152" t="str">
        <x:v>平日</x:v>
      </x:c>
      <x:c r="C148" s="152" t="str">
        <x:v>12~14歲</x:v>
      </x:c>
      <x:c r="D148" s="40" t="n">
        <x:v>3214</x:v>
      </x:c>
      <x:c r="E148" s="40" t="n">
        <x:v>968</x:v>
      </x:c>
      <x:c r="F148" s="153" t="n">
        <x:v>0</x:v>
      </x:c>
      <x:c r="G148" s="154" t="n">
        <x:f>SUM(D148:F148)</x:f>
        <x:v>4182</x:v>
      </x:c>
      <x:c r="H148" s="155" t="n">
        <x:f>IF(SUMIFS($D$7:$D$286,$A$7:$A$286,A148,$B$7:$B$286,B148)=0,"",D148/SUMIFS($D$7:$D$286,$A$7:$A$286,A148,$B$7:$B$286,B148))</x:f>
        <x:v>0.025037392496572355</x:v>
      </x:c>
      <x:c r="I148" s="155" t="n">
        <x:f>IF(SUMIFS($E$7:$E$286,$A$7:$A$286,A148,$B$7:$B$286,B148)=0,"",E148/SUMIFS($E$7:$E$286,$A$7:$A$286,A148,$B$7:$B$286,B148))</x:f>
        <x:v>0.01065480842258203</x:v>
      </x:c>
      <x:c r="J148" s="155" t="n">
        <x:f>IF(SUMIFS($F$7:$F$286,$A$7:$A$286,A148,$B$7:$B$286,B148)=0,"",F148/SUMIFS($F$7:$F$286,$A$7:$A$286,A148,$B$7:$B$286,B148))</x:f>
        <x:v>0</x:v>
      </x:c>
      <x:c r="K148" s="155" t="n">
        <x:f>IF(SUMIFS($G$7:$G$286,$A$7:$A$286,A148,$B$7:$B$286,B148)=0,"",G148/SUMIFS($G$7:$G$286,$A$7:$A$286,A148,$B$7:$B$286,B148))</x:f>
        <x:v>0.009835718569563837</x:v>
      </x:c>
      <x:c r="L148" s="1"/>
      <x:c r="M148" s="1"/>
      <x:c r="N148" s="1"/>
      <x:c r="O148" s="1"/>
      <x:c r="P148" s="1"/>
      <x:c r="Q148" s="1"/>
    </x:row>
    <x:row r="149">
      <x:c r="A149" s="151" t="n">
        <x:v>46054</x:v>
      </x:c>
      <x:c r="B149" s="152" t="str">
        <x:v>平日</x:v>
      </x:c>
      <x:c r="C149" s="152" t="str">
        <x:v>15~17歲</x:v>
      </x:c>
      <x:c r="D149" s="40" t="n">
        <x:v>6503</x:v>
      </x:c>
      <x:c r="E149" s="40" t="n">
        <x:v>2179</x:v>
      </x:c>
      <x:c r="F149" s="153" t="n">
        <x:v>0</x:v>
      </x:c>
      <x:c r="G149" s="154" t="n">
        <x:f>SUM(D149:F149)</x:f>
        <x:v>8682</x:v>
      </x:c>
      <x:c r="H149" s="155" t="n">
        <x:f>IF(SUMIFS($D$7:$D$286,$A$7:$A$286,A149,$B$7:$B$286,B149)=0,"",D149/SUMIFS($D$7:$D$286,$A$7:$A$286,A149,$B$7:$B$286,B149))</x:f>
        <x:v>0.05065904275208775</x:v>
      </x:c>
      <x:c r="I149" s="155" t="n">
        <x:f>IF(SUMIFS($E$7:$E$286,$A$7:$A$286,A149,$B$7:$B$286,B149)=0,"",E149/SUMIFS($E$7:$E$286,$A$7:$A$286,A149,$B$7:$B$286,B149))</x:f>
        <x:v>0.02398432598430397</x:v>
      </x:c>
      <x:c r="J149" s="155" t="n">
        <x:f>IF(SUMIFS($F$7:$F$286,$A$7:$A$286,A149,$B$7:$B$286,B149)=0,"",F149/SUMIFS($F$7:$F$286,$A$7:$A$286,A149,$B$7:$B$286,B149))</x:f>
        <x:v>0</x:v>
      </x:c>
      <x:c r="K149" s="155" t="n">
        <x:f>IF(SUMIFS($G$7:$G$286,$A$7:$A$286,A149,$B$7:$B$286,B149)=0,"",G149/SUMIFS($G$7:$G$286,$A$7:$A$286,A149,$B$7:$B$286,B149))</x:f>
        <x:v>0.020419346872537835</x:v>
      </x:c>
      <x:c r="L149" s="1"/>
      <x:c r="M149" s="1"/>
      <x:c r="N149" s="1"/>
      <x:c r="O149" s="1"/>
      <x:c r="P149" s="1"/>
      <x:c r="Q149" s="1"/>
    </x:row>
    <x:row r="150">
      <x:c r="A150" s="151" t="n">
        <x:v>46054</x:v>
      </x:c>
      <x:c r="B150" s="152" t="str">
        <x:v>平日</x:v>
      </x:c>
      <x:c r="C150" s="152" t="str">
        <x:v>18~24歲</x:v>
      </x:c>
      <x:c r="D150" s="40" t="n">
        <x:v>11866</x:v>
      </x:c>
      <x:c r="E150" s="40" t="n">
        <x:v>8571</x:v>
      </x:c>
      <x:c r="F150" s="153" t="n">
        <x:v>0</x:v>
      </x:c>
      <x:c r="G150" s="154" t="n">
        <x:f>SUM(D150:F150)</x:f>
        <x:v>20437</x:v>
      </x:c>
      <x:c r="H150" s="155" t="n">
        <x:f>IF(SUMIFS($D$7:$D$286,$A$7:$A$286,A150,$B$7:$B$286,B150)=0,"",D150/SUMIFS($D$7:$D$286,$A$7:$A$286,A150,$B$7:$B$286,B150))</x:f>
        <x:v>0.09243736756824131</x:v>
      </x:c>
      <x:c r="I150" s="155" t="n">
        <x:f>IF(SUMIFS($E$7:$E$286,$A$7:$A$286,A150,$B$7:$B$286,B150)=0,"",E150/SUMIFS($E$7:$E$286,$A$7:$A$286,A150,$B$7:$B$286,B150))</x:f>
        <x:v>0.09434128408052746</x:v>
      </x:c>
      <x:c r="J150" s="155" t="n">
        <x:f>IF(SUMIFS($F$7:$F$286,$A$7:$A$286,A150,$B$7:$B$286,B150)=0,"",F150/SUMIFS($F$7:$F$286,$A$7:$A$286,A150,$B$7:$B$286,B150))</x:f>
        <x:v>0</x:v>
      </x:c>
      <x:c r="K150" s="155" t="n">
        <x:f>IF(SUMIFS($G$7:$G$286,$A$7:$A$286,A150,$B$7:$B$286,B150)=0,"",G150/SUMIFS($G$7:$G$286,$A$7:$A$286,A150,$B$7:$B$286,B150))</x:f>
        <x:v>0.04806613591730658</x:v>
      </x:c>
      <x:c r="L150" s="1"/>
      <x:c r="M150" s="1"/>
      <x:c r="N150" s="1"/>
      <x:c r="O150" s="1"/>
      <x:c r="P150" s="1"/>
      <x:c r="Q150" s="1"/>
    </x:row>
    <x:row r="151">
      <x:c r="A151" s="151" t="n">
        <x:v>46054</x:v>
      </x:c>
      <x:c r="B151" s="152" t="str">
        <x:v>平日</x:v>
      </x:c>
      <x:c r="C151" s="152" t="str">
        <x:v>25~34歲</x:v>
      </x:c>
      <x:c r="D151" s="40" t="n">
        <x:v>25857</x:v>
      </x:c>
      <x:c r="E151" s="40" t="n">
        <x:v>21437</x:v>
      </x:c>
      <x:c r="F151" s="153" t="n">
        <x:v>0</x:v>
      </x:c>
      <x:c r="G151" s="154" t="n">
        <x:f>SUM(D151:F151)</x:f>
        <x:v>47294</x:v>
      </x:c>
      <x:c r="H151" s="155" t="n">
        <x:f>IF(SUMIFS($D$7:$D$286,$A$7:$A$286,A151,$B$7:$B$286,B151)=0,"",D151/SUMIFS($D$7:$D$286,$A$7:$A$286,A151,$B$7:$B$286,B151))</x:f>
        <x:v>0.20142870497320203</x:v>
      </x:c>
      <x:c r="I151" s="155" t="n">
        <x:f>IF(SUMIFS($E$7:$E$286,$A$7:$A$286,A151,$B$7:$B$286,B151)=0,"",E151/SUMIFS($E$7:$E$286,$A$7:$A$286,A151,$B$7:$B$286,B151))</x:f>
        <x:v>0.23595777701951548</x:v>
      </x:c>
      <x:c r="J151" s="155" t="n">
        <x:f>IF(SUMIFS($F$7:$F$286,$A$7:$A$286,A151,$B$7:$B$286,B151)=0,"",F151/SUMIFS($F$7:$F$286,$A$7:$A$286,A151,$B$7:$B$286,B151))</x:f>
        <x:v>0</x:v>
      </x:c>
      <x:c r="K151" s="155" t="n">
        <x:f>IF(SUMIFS($G$7:$G$286,$A$7:$A$286,A151,$B$7:$B$286,B151)=0,"",G151/SUMIFS($G$7:$G$286,$A$7:$A$286,A151,$B$7:$B$286,B151))</x:f>
        <x:v>0.11123158154685607</x:v>
      </x:c>
      <x:c r="L151" s="1"/>
      <x:c r="M151" s="1"/>
      <x:c r="N151" s="1"/>
      <x:c r="O151" s="1"/>
      <x:c r="P151" s="1"/>
      <x:c r="Q151" s="1"/>
    </x:row>
    <x:row r="152">
      <x:c r="A152" s="151" t="n">
        <x:v>46054</x:v>
      </x:c>
      <x:c r="B152" s="152" t="str">
        <x:v>平日</x:v>
      </x:c>
      <x:c r="C152" s="152" t="str">
        <x:v>35~44歲</x:v>
      </x:c>
      <x:c r="D152" s="40" t="n">
        <x:v>23862</x:v>
      </x:c>
      <x:c r="E152" s="40" t="n">
        <x:v>21328</x:v>
      </x:c>
      <x:c r="F152" s="153" t="n">
        <x:v>0</x:v>
      </x:c>
      <x:c r="G152" s="154" t="n">
        <x:f>SUM(D152:F152)</x:f>
        <x:v>45190</x:v>
      </x:c>
      <x:c r="H152" s="155" t="n">
        <x:f>IF(SUMIFS($D$7:$D$286,$A$7:$A$286,A152,$B$7:$B$286,B152)=0,"",D152/SUMIFS($D$7:$D$286,$A$7:$A$286,A152,$B$7:$B$286,B152))</x:f>
        <x:v>0.18588744858531722</x:v>
      </x:c>
      <x:c r="I152" s="155" t="n">
        <x:f>IF(SUMIFS($E$7:$E$286,$A$7:$A$286,A152,$B$7:$B$286,B152)=0,"",E152/SUMIFS($E$7:$E$286,$A$7:$A$286,A152,$B$7:$B$286,B152))</x:f>
        <x:v>0.23475801036862556</x:v>
      </x:c>
      <x:c r="J152" s="155" t="n">
        <x:f>IF(SUMIFS($F$7:$F$286,$A$7:$A$286,A152,$B$7:$B$286,B152)=0,"",F152/SUMIFS($F$7:$F$286,$A$7:$A$286,A152,$B$7:$B$286,B152))</x:f>
        <x:v>0</x:v>
      </x:c>
      <x:c r="K152" s="155" t="n">
        <x:f>IF(SUMIFS($G$7:$G$286,$A$7:$A$286,A152,$B$7:$B$286,B152)=0,"",G152/SUMIFS($G$7:$G$286,$A$7:$A$286,A152,$B$7:$B$286,B152))</x:f>
        <x:v>0.10628314733586557</x:v>
      </x:c>
      <x:c r="L152" s="1"/>
      <x:c r="M152" s="1"/>
      <x:c r="N152" s="1"/>
      <x:c r="O152" s="1"/>
      <x:c r="P152" s="1"/>
      <x:c r="Q152" s="1"/>
    </x:row>
    <x:row r="153">
      <x:c r="A153" s="151" t="n">
        <x:v>46054</x:v>
      </x:c>
      <x:c r="B153" s="152" t="str">
        <x:v>平日</x:v>
      </x:c>
      <x:c r="C153" s="152" t="str">
        <x:v>45~54歲</x:v>
      </x:c>
      <x:c r="D153" s="40" t="n">
        <x:v>20424</x:v>
      </x:c>
      <x:c r="E153" s="40" t="n">
        <x:v>18744</x:v>
      </x:c>
      <x:c r="F153" s="153" t="n">
        <x:v>0</x:v>
      </x:c>
      <x:c r="G153" s="154" t="n">
        <x:f>SUM(D153:F153)</x:f>
        <x:v>39168</x:v>
      </x:c>
      <x:c r="H153" s="155" t="n">
        <x:f>IF(SUMIFS($D$7:$D$286,$A$7:$A$286,A153,$B$7:$B$286,B153)=0,"",D153/SUMIFS($D$7:$D$286,$A$7:$A$286,A153,$B$7:$B$286,B153))</x:f>
        <x:v>0.15910507291536832</x:v>
      </x:c>
      <x:c r="I153" s="155" t="n">
        <x:f>IF(SUMIFS($E$7:$E$286,$A$7:$A$286,A153,$B$7:$B$286,B153)=0,"",E153/SUMIFS($E$7:$E$286,$A$7:$A$286,A153,$B$7:$B$286,B153))</x:f>
        <x:v>0.2063158358190884</x:v>
      </x:c>
      <x:c r="J153" s="155" t="n">
        <x:f>IF(SUMIFS($F$7:$F$286,$A$7:$A$286,A153,$B$7:$B$286,B153)=0,"",F153/SUMIFS($F$7:$F$286,$A$7:$A$286,A153,$B$7:$B$286,B153))</x:f>
        <x:v>0</x:v>
      </x:c>
      <x:c r="K153" s="155" t="n">
        <x:f>IF(SUMIFS($G$7:$G$286,$A$7:$A$286,A153,$B$7:$B$286,B153)=0,"",G153/SUMIFS($G$7:$G$286,$A$7:$A$286,A153,$B$7:$B$286,B153))</x:f>
        <x:v>0.09211990074908569</x:v>
      </x:c>
      <x:c r="L153" s="1"/>
      <x:c r="M153" s="1"/>
      <x:c r="N153" s="1"/>
      <x:c r="O153" s="1"/>
      <x:c r="P153" s="1"/>
      <x:c r="Q153" s="1"/>
    </x:row>
    <x:row r="154">
      <x:c r="A154" s="151" t="n">
        <x:v>46054</x:v>
      </x:c>
      <x:c r="B154" s="152" t="str">
        <x:v>平日</x:v>
      </x:c>
      <x:c r="C154" s="152" t="str">
        <x:v>55~64歲</x:v>
      </x:c>
      <x:c r="D154" s="40" t="n">
        <x:v>12841</x:v>
      </x:c>
      <x:c r="E154" s="40" t="n">
        <x:v>9415</x:v>
      </x:c>
      <x:c r="F154" s="153" t="n">
        <x:v>0</x:v>
      </x:c>
      <x:c r="G154" s="154" t="n">
        <x:f>SUM(D154:F154)</x:f>
        <x:v>22256</x:v>
      </x:c>
      <x:c r="H154" s="155" t="n">
        <x:f>IF(SUMIFS($D$7:$D$286,$A$7:$A$286,A154,$B$7:$B$286,B154)=0,"",D154/SUMIFS($D$7:$D$286,$A$7:$A$286,A154,$B$7:$B$286,B154))</x:f>
        <x:v>0.10003271843450082</x:v>
      </x:c>
      <x:c r="I154" s="155" t="n">
        <x:f>IF(SUMIFS($E$7:$E$286,$A$7:$A$286,A154,$B$7:$B$286,B154)=0,"",E154/SUMIFS($E$7:$E$286,$A$7:$A$286,A154,$B$7:$B$286,B154))</x:f>
        <x:v>0.10363122034980353</x:v>
      </x:c>
      <x:c r="J154" s="155" t="n">
        <x:f>IF(SUMIFS($F$7:$F$286,$A$7:$A$286,A154,$B$7:$B$286,B154)=0,"",F154/SUMIFS($F$7:$F$286,$A$7:$A$286,A154,$B$7:$B$286,B154))</x:f>
        <x:v>0</x:v>
      </x:c>
      <x:c r="K154" s="155" t="n">
        <x:f>IF(SUMIFS($G$7:$G$286,$A$7:$A$286,A154,$B$7:$B$286,B154)=0,"",G154/SUMIFS($G$7:$G$286,$A$7:$A$286,A154,$B$7:$B$286,B154))</x:f>
        <x:v>0.052344273669108744</x:v>
      </x:c>
      <x:c r="L154" s="1"/>
      <x:c r="M154" s="1"/>
      <x:c r="N154" s="1"/>
      <x:c r="O154" s="1"/>
      <x:c r="P154" s="1"/>
      <x:c r="Q154" s="1"/>
    </x:row>
    <x:row r="155">
      <x:c r="A155" s="151" t="n">
        <x:v>46054</x:v>
      </x:c>
      <x:c r="B155" s="152" t="str">
        <x:v>平日</x:v>
      </x:c>
      <x:c r="C155" s="152" t="str">
        <x:v>65~100歲</x:v>
      </x:c>
      <x:c r="D155" s="40" t="n">
        <x:v>23446</x:v>
      </x:c>
      <x:c r="E155" s="40" t="n">
        <x:v>8101</x:v>
      </x:c>
      <x:c r="F155" s="153" t="n">
        <x:v>0</x:v>
      </x:c>
      <x:c r="G155" s="154" t="n">
        <x:f>SUM(D155:F155)</x:f>
        <x:v>31547</x:v>
      </x:c>
      <x:c r="H155" s="155" t="n">
        <x:f>IF(SUMIFS($D$7:$D$286,$A$7:$A$286,A155,$B$7:$B$286,B155)=0,"",D155/SUMIFS($D$7:$D$286,$A$7:$A$286,A155,$B$7:$B$286,B155))</x:f>
        <x:v>0.1826467655490465</x:v>
      </x:c>
      <x:c r="I155" s="155" t="n">
        <x:f>IF(SUMIFS($E$7:$E$286,$A$7:$A$286,A155,$B$7:$B$286,B155)=0,"",E155/SUMIFS($E$7:$E$286,$A$7:$A$286,A155,$B$7:$B$286,B155))</x:f>
        <x:v>0.08916797833815808</x:v>
      </x:c>
      <x:c r="J155" s="155" t="n">
        <x:f>IF(SUMIFS($F$7:$F$286,$A$7:$A$286,A155,$B$7:$B$286,B155)=0,"",F155/SUMIFS($F$7:$F$286,$A$7:$A$286,A155,$B$7:$B$286,B155))</x:f>
        <x:v>0</x:v>
      </x:c>
      <x:c r="K155" s="155" t="n">
        <x:f>IF(SUMIFS($G$7:$G$286,$A$7:$A$286,A155,$B$7:$B$286,B155)=0,"",G155/SUMIFS($G$7:$G$286,$A$7:$A$286,A155,$B$7:$B$286,B155))</x:f>
        <x:v>0.07419593823864906</x:v>
      </x:c>
      <x:c r="L155" s="1"/>
      <x:c r="M155" s="1"/>
      <x:c r="N155" s="1"/>
      <x:c r="O155" s="1"/>
      <x:c r="P155" s="1"/>
      <x:c r="Q155" s="1"/>
    </x:row>
    <x:row r="156">
      <x:c r="A156" s="151" t="n">
        <x:v>46054</x:v>
      </x:c>
      <x:c r="B156" s="152" t="str">
        <x:v>平日</x:v>
      </x:c>
      <x:c r="C156" s="152" t="str">
        <x:v>未投保或資料有誤</x:v>
      </x:c>
      <x:c r="D156" s="40" t="n">
        <x:v>0</x:v>
      </x:c>
      <x:c r="E156" s="40" t="n">
        <x:v>0</x:v>
      </x:c>
      <x:c r="F156" s="153" t="n">
        <x:v>205966</x:v>
      </x:c>
      <x:c r="G156" s="154" t="n">
        <x:f>SUM(D156:F156)</x:f>
        <x:v>205966</x:v>
      </x:c>
      <x:c r="H156" s="155" t="n">
        <x:f>IF(SUMIFS($D$7:$D$286,$A$7:$A$286,A156,$B$7:$B$286,B156)=0,"",D156/SUMIFS($D$7:$D$286,$A$7:$A$286,A156,$B$7:$B$286,B156))</x:f>
        <x:v>0</x:v>
      </x:c>
      <x:c r="I156" s="155" t="n">
        <x:f>IF(SUMIFS($E$7:$E$286,$A$7:$A$286,A156,$B$7:$B$286,B156)=0,"",E156/SUMIFS($E$7:$E$286,$A$7:$A$286,A156,$B$7:$B$286,B156))</x:f>
        <x:v>0</x:v>
      </x:c>
      <x:c r="J156" s="155" t="n">
        <x:f>IF(SUMIFS($F$7:$F$286,$A$7:$A$286,A156,$B$7:$B$286,B156)=0,"",F156/SUMIFS($F$7:$F$286,$A$7:$A$286,A156,$B$7:$B$286,B156))</x:f>
        <x:v>1</x:v>
      </x:c>
      <x:c r="K156" s="155" t="n">
        <x:f>IF(SUMIFS($G$7:$G$286,$A$7:$A$286,A156,$B$7:$B$286,B156)=0,"",G156/SUMIFS($G$7:$G$286,$A$7:$A$286,A156,$B$7:$B$286,B156))</x:f>
        <x:v>0.48441501934452064</x:v>
      </x:c>
      <x:c r="L156" s="1"/>
      <x:c r="M156" s="1"/>
      <x:c r="N156" s="1"/>
      <x:c r="O156" s="1"/>
      <x:c r="P156" s="1"/>
      <x:c r="Q156" s="1"/>
    </x:row>
    <x:row r="157">
      <x:c r="A157" s="151" t="n">
        <x:v>46054</x:v>
      </x:c>
      <x:c r="B157" s="152" t="str">
        <x:v>假日</x:v>
      </x:c>
      <x:c r="C157" s="152" t="str">
        <x:v>08~11歲</x:v>
      </x:c>
      <x:c r="D157" s="40" t="n">
        <x:v>137</x:v>
      </x:c>
      <x:c r="E157" s="40" t="n">
        <x:v>56</x:v>
      </x:c>
      <x:c r="F157" s="153" t="n">
        <x:v>0</x:v>
      </x:c>
      <x:c r="G157" s="154" t="n">
        <x:f>SUM(D157:F157)</x:f>
        <x:v>193</x:v>
      </x:c>
      <x:c r="H157" s="155" t="n">
        <x:f>IF(SUMIFS($D$7:$D$286,$A$7:$A$286,A157,$B$7:$B$286,B157)=0,"",D157/SUMIFS($D$7:$D$286,$A$7:$A$286,A157,$B$7:$B$286,B157))</x:f>
        <x:v>0.002916817475356086</x:v>
      </x:c>
      <x:c r="I157" s="155" t="n">
        <x:f>IF(SUMIFS($E$7:$E$286,$A$7:$A$286,A157,$B$7:$B$286,B157)=0,"",E157/SUMIFS($E$7:$E$286,$A$7:$A$286,A157,$B$7:$B$286,B157))</x:f>
        <x:v>0.001800469408095682</x:v>
      </x:c>
      <x:c r="J157" s="155" t="n">
        <x:f>IF(SUMIFS($F$7:$F$286,$A$7:$A$286,A157,$B$7:$B$286,B157)=0,"",F157/SUMIFS($F$7:$F$286,$A$7:$A$286,A157,$B$7:$B$286,B157))</x:f>
        <x:v>0</x:v>
      </x:c>
      <x:c r="K157" s="155" t="n">
        <x:f>IF(SUMIFS($G$7:$G$286,$A$7:$A$286,A157,$B$7:$B$286,B157)=0,"",G157/SUMIFS($G$7:$G$286,$A$7:$A$286,A157,$B$7:$B$286,B157))</x:f>
        <x:v>0.001255848152992237</x:v>
      </x:c>
      <x:c r="L157" s="1"/>
      <x:c r="M157" s="1"/>
      <x:c r="N157" s="1"/>
      <x:c r="O157" s="1"/>
      <x:c r="P157" s="1"/>
      <x:c r="Q157" s="1"/>
    </x:row>
    <x:row r="158">
      <x:c r="A158" s="151" t="n">
        <x:v>46054</x:v>
      </x:c>
      <x:c r="B158" s="152" t="str">
        <x:v>假日</x:v>
      </x:c>
      <x:c r="C158" s="152" t="str">
        <x:v>12~14歲</x:v>
      </x:c>
      <x:c r="D158" s="40" t="n">
        <x:v>971</x:v>
      </x:c>
      <x:c r="E158" s="40" t="n">
        <x:v>301</x:v>
      </x:c>
      <x:c r="F158" s="153" t="n">
        <x:v>0</x:v>
      </x:c>
      <x:c r="G158" s="154" t="n">
        <x:f>SUM(D158:F158)</x:f>
        <x:v>1272</x:v>
      </x:c>
      <x:c r="H158" s="155" t="n">
        <x:f>IF(SUMIFS($D$7:$D$286,$A$7:$A$286,A158,$B$7:$B$286,B158)=0,"",D158/SUMIFS($D$7:$D$286,$A$7:$A$286,A158,$B$7:$B$286,B158))</x:f>
        <x:v>0.020673209989567586</x:v>
      </x:c>
      <x:c r="I158" s="155" t="n">
        <x:f>IF(SUMIFS($E$7:$E$286,$A$7:$A$286,A158,$B$7:$B$286,B158)=0,"",E158/SUMIFS($E$7:$E$286,$A$7:$A$286,A158,$B$7:$B$286,B158))</x:f>
        <x:v>0.009677523068514292</x:v>
      </x:c>
      <x:c r="J158" s="155" t="n">
        <x:f>IF(SUMIFS($F$7:$F$286,$A$7:$A$286,A158,$B$7:$B$286,B158)=0,"",F158/SUMIFS($F$7:$F$286,$A$7:$A$286,A158,$B$7:$B$286,B158))</x:f>
        <x:v>0</x:v>
      </x:c>
      <x:c r="K158" s="155" t="n">
        <x:f>IF(SUMIFS($G$7:$G$286,$A$7:$A$286,A158,$B$7:$B$286,B158)=0,"",G158/SUMIFS($G$7:$G$286,$A$7:$A$286,A158,$B$7:$B$286,B158))</x:f>
        <x:v>0.008276885236301169</x:v>
      </x:c>
      <x:c r="L158" s="1"/>
      <x:c r="M158" s="1"/>
      <x:c r="N158" s="1"/>
      <x:c r="O158" s="1"/>
      <x:c r="P158" s="1"/>
      <x:c r="Q158" s="1"/>
    </x:row>
    <x:row r="159">
      <x:c r="A159" s="151" t="n">
        <x:v>46054</x:v>
      </x:c>
      <x:c r="B159" s="152" t="str">
        <x:v>假日</x:v>
      </x:c>
      <x:c r="C159" s="152" t="str">
        <x:v>15~17歲</x:v>
      </x:c>
      <x:c r="D159" s="40" t="n">
        <x:v>1936</x:v>
      </x:c>
      <x:c r="E159" s="40" t="n">
        <x:v>697</x:v>
      </x:c>
      <x:c r="F159" s="153" t="n">
        <x:v>0</x:v>
      </x:c>
      <x:c r="G159" s="154" t="n">
        <x:f>SUM(D159:F159)</x:f>
        <x:v>2633</x:v>
      </x:c>
      <x:c r="H159" s="155" t="n">
        <x:f>IF(SUMIFS($D$7:$D$286,$A$7:$A$286,A159,$B$7:$B$286,B159)=0,"",D159/SUMIFS($D$7:$D$286,$A$7:$A$286,A159,$B$7:$B$286,B159))</x:f>
        <x:v>0.04121867614809768</x:v>
      </x:c>
      <x:c r="I159" s="155" t="n">
        <x:f>IF(SUMIFS($E$7:$E$286,$A$7:$A$286,A159,$B$7:$B$286,B159)=0,"",E159/SUMIFS($E$7:$E$286,$A$7:$A$286,A159,$B$7:$B$286,B159))</x:f>
        <x:v>0.022409413882905186</x:v>
      </x:c>
      <x:c r="J159" s="155" t="n">
        <x:f>IF(SUMIFS($F$7:$F$286,$A$7:$A$286,A159,$B$7:$B$286,B159)=0,"",F159/SUMIFS($F$7:$F$286,$A$7:$A$286,A159,$B$7:$B$286,B159))</x:f>
        <x:v>0</x:v>
      </x:c>
      <x:c r="K159" s="155" t="n">
        <x:f>IF(SUMIFS($G$7:$G$286,$A$7:$A$286,A159,$B$7:$B$286,B159)=0,"",G159/SUMIFS($G$7:$G$286,$A$7:$A$286,A159,$B$7:$B$286,B159))</x:f>
        <x:v>0.017132892159733473</x:v>
      </x:c>
      <x:c r="L159" s="1"/>
      <x:c r="M159" s="1"/>
      <x:c r="N159" s="1"/>
      <x:c r="O159" s="1"/>
      <x:c r="P159" s="1"/>
      <x:c r="Q159" s="1"/>
    </x:row>
    <x:row r="160">
      <x:c r="A160" s="151" t="n">
        <x:v>46054</x:v>
      </x:c>
      <x:c r="B160" s="152" t="str">
        <x:v>假日</x:v>
      </x:c>
      <x:c r="C160" s="152" t="str">
        <x:v>18~24歲</x:v>
      </x:c>
      <x:c r="D160" s="40" t="n">
        <x:v>4155</x:v>
      </x:c>
      <x:c r="E160" s="40" t="n">
        <x:v>2821</x:v>
      </x:c>
      <x:c r="F160" s="153" t="n">
        <x:v>0</x:v>
      </x:c>
      <x:c r="G160" s="154" t="n">
        <x:f>SUM(D160:F160)</x:f>
        <x:v>6976</x:v>
      </x:c>
      <x:c r="H160" s="155" t="n">
        <x:f>IF(SUMIFS($D$7:$D$286,$A$7:$A$286,A160,$B$7:$B$286,B160)=0,"",D160/SUMIFS($D$7:$D$286,$A$7:$A$286,A160,$B$7:$B$286,B160))</x:f>
        <x:v>0.08846260299346377</x:v>
      </x:c>
      <x:c r="I160" s="155" t="n">
        <x:f>IF(SUMIFS($E$7:$E$286,$A$7:$A$286,A160,$B$7:$B$286,B160)=0,"",E160/SUMIFS($E$7:$E$286,$A$7:$A$286,A160,$B$7:$B$286,B160))</x:f>
        <x:v>0.09069864643281998</x:v>
      </x:c>
      <x:c r="J160" s="155" t="n">
        <x:f>IF(SUMIFS($F$7:$F$286,$A$7:$A$286,A160,$B$7:$B$286,B160)=0,"",F160/SUMIFS($F$7:$F$286,$A$7:$A$286,A160,$B$7:$B$286,B160))</x:f>
        <x:v>0</x:v>
      </x:c>
      <x:c r="K160" s="155" t="n">
        <x:f>IF(SUMIFS($G$7:$G$286,$A$7:$A$286,A160,$B$7:$B$286,B160)=0,"",G160/SUMIFS($G$7:$G$286,$A$7:$A$286,A160,$B$7:$B$286,B160))</x:f>
        <x:v>0.04539272909468314</x:v>
      </x:c>
      <x:c r="L160" s="1"/>
      <x:c r="M160" s="1"/>
      <x:c r="N160" s="1"/>
      <x:c r="O160" s="1"/>
      <x:c r="P160" s="1"/>
      <x:c r="Q160" s="1"/>
    </x:row>
    <x:row r="161">
      <x:c r="A161" s="151" t="n">
        <x:v>46054</x:v>
      </x:c>
      <x:c r="B161" s="152" t="str">
        <x:v>假日</x:v>
      </x:c>
      <x:c r="C161" s="152" t="str">
        <x:v>25~34歲</x:v>
      </x:c>
      <x:c r="D161" s="40" t="n">
        <x:v>9130</x:v>
      </x:c>
      <x:c r="E161" s="40" t="n">
        <x:v>7040</x:v>
      </x:c>
      <x:c r="F161" s="153" t="n">
        <x:v>0</x:v>
      </x:c>
      <x:c r="G161" s="154" t="n">
        <x:f>SUM(D161:F161)</x:f>
        <x:v>16170</x:v>
      </x:c>
      <x:c r="H161" s="155" t="n">
        <x:f>IF(SUMIFS($D$7:$D$286,$A$7:$A$286,A161,$B$7:$B$286,B161)=0,"",D161/SUMIFS($D$7:$D$286,$A$7:$A$286,A161,$B$7:$B$286,B161))</x:f>
        <x:v>0.19438352956205157</x:v>
      </x:c>
      <x:c r="I161" s="155" t="n">
        <x:f>IF(SUMIFS($E$7:$E$286,$A$7:$A$286,A161,$B$7:$B$286,B161)=0,"",E161/SUMIFS($E$7:$E$286,$A$7:$A$286,A161,$B$7:$B$286,B161))</x:f>
        <x:v>0.22634472558917146</x:v>
      </x:c>
      <x:c r="J161" s="155" t="n">
        <x:f>IF(SUMIFS($F$7:$F$286,$A$7:$A$286,A161,$B$7:$B$286,B161)=0,"",F161/SUMIFS($F$7:$F$286,$A$7:$A$286,A161,$B$7:$B$286,B161))</x:f>
        <x:v>0</x:v>
      </x:c>
      <x:c r="K161" s="155" t="n">
        <x:f>IF(SUMIFS($G$7:$G$286,$A$7:$A$286,A161,$B$7:$B$286,B161)=0,"",G161/SUMIFS($G$7:$G$286,$A$7:$A$286,A161,$B$7:$B$286,B161))</x:f>
        <x:v>0.10521795147090401</x:v>
      </x:c>
      <x:c r="L161" s="1"/>
      <x:c r="M161" s="1"/>
      <x:c r="N161" s="1"/>
      <x:c r="O161" s="1"/>
      <x:c r="P161" s="1"/>
      <x:c r="Q161" s="1"/>
    </x:row>
    <x:row r="162">
      <x:c r="A162" s="151" t="n">
        <x:v>46054</x:v>
      </x:c>
      <x:c r="B162" s="152" t="str">
        <x:v>假日</x:v>
      </x:c>
      <x:c r="C162" s="152" t="str">
        <x:v>35~44歲</x:v>
      </x:c>
      <x:c r="D162" s="40" t="n">
        <x:v>8695</x:v>
      </x:c>
      <x:c r="E162" s="40" t="n">
        <x:v>6829</x:v>
      </x:c>
      <x:c r="F162" s="153" t="n">
        <x:v>0</x:v>
      </x:c>
      <x:c r="G162" s="154" t="n">
        <x:f>SUM(D162:F162)</x:f>
        <x:v>15524</x:v>
      </x:c>
      <x:c r="H162" s="155" t="n">
        <x:f>IF(SUMIFS($D$7:$D$286,$A$7:$A$286,A162,$B$7:$B$286,B162)=0,"",D162/SUMIFS($D$7:$D$286,$A$7:$A$286,A162,$B$7:$B$286,B162))</x:f>
        <x:v>0.18512210181183333</x:v>
      </x:c>
      <x:c r="I162" s="155" t="n">
        <x:f>IF(SUMIFS($E$7:$E$286,$A$7:$A$286,A162,$B$7:$B$286,B162)=0,"",E162/SUMIFS($E$7:$E$286,$A$7:$A$286,A162,$B$7:$B$286,B162))</x:f>
        <x:v>0.21956081406938238</x:v>
      </x:c>
      <x:c r="J162" s="155" t="n">
        <x:f>IF(SUMIFS($F$7:$F$286,$A$7:$A$286,A162,$B$7:$B$286,B162)=0,"",F162/SUMIFS($F$7:$F$286,$A$7:$A$286,A162,$B$7:$B$286,B162))</x:f>
        <x:v>0</x:v>
      </x:c>
      <x:c r="K162" s="155" t="n">
        <x:f>IF(SUMIFS($G$7:$G$286,$A$7:$A$286,A162,$B$7:$B$286,B162)=0,"",G162/SUMIFS($G$7:$G$286,$A$7:$A$286,A162,$B$7:$B$286,B162))</x:f>
        <x:v>0.10101443900026678</x:v>
      </x:c>
      <x:c r="L162" s="1"/>
      <x:c r="M162" s="1"/>
      <x:c r="N162" s="1"/>
      <x:c r="O162" s="1"/>
      <x:c r="P162" s="1"/>
      <x:c r="Q162" s="1"/>
    </x:row>
    <x:row r="163">
      <x:c r="A163" s="151" t="n">
        <x:v>46054</x:v>
      </x:c>
      <x:c r="B163" s="152" t="str">
        <x:v>假日</x:v>
      </x:c>
      <x:c r="C163" s="152" t="str">
        <x:v>45~54歲</x:v>
      </x:c>
      <x:c r="D163" s="40" t="n">
        <x:v>7718</x:v>
      </x:c>
      <x:c r="E163" s="40" t="n">
        <x:v>6770</x:v>
      </x:c>
      <x:c r="F163" s="153" t="n">
        <x:v>0</x:v>
      </x:c>
      <x:c r="G163" s="154" t="n">
        <x:f>SUM(D163:F163)</x:f>
        <x:v>14488</x:v>
      </x:c>
      <x:c r="H163" s="155" t="n">
        <x:f>IF(SUMIFS($D$7:$D$286,$A$7:$A$286,A163,$B$7:$B$286,B163)=0,"",D163/SUMIFS($D$7:$D$286,$A$7:$A$286,A163,$B$7:$B$286,B163))</x:f>
        <x:v>0.16432114799122827</x:v>
      </x:c>
      <x:c r="I163" s="155" t="n">
        <x:f>IF(SUMIFS($E$7:$E$286,$A$7:$A$286,A163,$B$7:$B$286,B163)=0,"",E163/SUMIFS($E$7:$E$286,$A$7:$A$286,A163,$B$7:$B$286,B163))</x:f>
        <x:v>0.21766389094299585</x:v>
      </x:c>
      <x:c r="J163" s="155" t="n">
        <x:f>IF(SUMIFS($F$7:$F$286,$A$7:$A$286,A163,$B$7:$B$286,B163)=0,"",F163/SUMIFS($F$7:$F$286,$A$7:$A$286,A163,$B$7:$B$286,B163))</x:f>
        <x:v>0</x:v>
      </x:c>
      <x:c r="K163" s="155" t="n">
        <x:f>IF(SUMIFS($G$7:$G$286,$A$7:$A$286,A163,$B$7:$B$286,B163)=0,"",G163/SUMIFS($G$7:$G$286,$A$7:$A$286,A163,$B$7:$B$286,B163))</x:f>
        <x:v>0.09427320228265043</x:v>
      </x:c>
      <x:c r="L163" s="1"/>
      <x:c r="M163" s="1"/>
      <x:c r="N163" s="1"/>
      <x:c r="O163" s="1"/>
      <x:c r="P163" s="1"/>
      <x:c r="Q163" s="1"/>
    </x:row>
    <x:row r="164">
      <x:c r="A164" s="151" t="n">
        <x:v>46054</x:v>
      </x:c>
      <x:c r="B164" s="152" t="str">
        <x:v>假日</x:v>
      </x:c>
      <x:c r="C164" s="152" t="str">
        <x:v>55~64歲</x:v>
      </x:c>
      <x:c r="D164" s="40" t="n">
        <x:v>5049</x:v>
      </x:c>
      <x:c r="E164" s="40" t="n">
        <x:v>3622</x:v>
      </x:c>
      <x:c r="F164" s="153" t="n">
        <x:v>0</x:v>
      </x:c>
      <x:c r="G164" s="154" t="n">
        <x:f>SUM(D164:F164)</x:f>
        <x:v>8671</x:v>
      </x:c>
      <x:c r="H164" s="155" t="n">
        <x:f>IF(SUMIFS($D$7:$D$286,$A$7:$A$286,A164,$B$7:$B$286,B164)=0,"",D164/SUMIFS($D$7:$D$286,$A$7:$A$286,A164,$B$7:$B$286,B164))</x:f>
        <x:v>0.1074964338180502</x:v>
      </x:c>
      <x:c r="I164" s="155" t="n">
        <x:f>IF(SUMIFS($E$7:$E$286,$A$7:$A$286,A164,$B$7:$B$286,B164)=0,"",E164/SUMIFS($E$7:$E$286,$A$7:$A$286,A164,$B$7:$B$286,B164))</x:f>
        <x:v>0.1164517892164743</x:v>
      </x:c>
      <x:c r="J164" s="155" t="n">
        <x:f>IF(SUMIFS($F$7:$F$286,$A$7:$A$286,A164,$B$7:$B$286,B164)=0,"",F164/SUMIFS($F$7:$F$286,$A$7:$A$286,A164,$B$7:$B$286,B164))</x:f>
        <x:v>0</x:v>
      </x:c>
      <x:c r="K164" s="155" t="n">
        <x:f>IF(SUMIFS($G$7:$G$286,$A$7:$A$286,A164,$B$7:$B$286,B164)=0,"",G164/SUMIFS($G$7:$G$286,$A$7:$A$286,A164,$B$7:$B$286,B164))</x:f>
        <x:v>0.05642206909116937</x:v>
      </x:c>
      <x:c r="L164" s="1"/>
      <x:c r="M164" s="1"/>
      <x:c r="N164" s="1"/>
      <x:c r="O164" s="1"/>
      <x:c r="P164" s="1"/>
      <x:c r="Q164" s="1"/>
    </x:row>
    <x:row r="165">
      <x:c r="A165" s="151" t="n">
        <x:v>46054</x:v>
      </x:c>
      <x:c r="B165" s="152" t="str">
        <x:v>假日</x:v>
      </x:c>
      <x:c r="C165" s="152" t="str">
        <x:v>65~100歲</x:v>
      </x:c>
      <x:c r="D165" s="40" t="n">
        <x:v>9178</x:v>
      </x:c>
      <x:c r="E165" s="40" t="n">
        <x:v>2967</x:v>
      </x:c>
      <x:c r="F165" s="153" t="n">
        <x:v>0</x:v>
      </x:c>
      <x:c r="G165" s="154" t="n">
        <x:f>SUM(D165:F165)</x:f>
        <x:v>12145</x:v>
      </x:c>
      <x:c r="H165" s="155" t="n">
        <x:f>IF(SUMIFS($D$7:$D$286,$A$7:$A$286,A165,$B$7:$B$286,B165)=0,"",D165/SUMIFS($D$7:$D$286,$A$7:$A$286,A165,$B$7:$B$286,B165))</x:f>
        <x:v>0.1954054802103515</x:v>
      </x:c>
      <x:c r="I165" s="155" t="n">
        <x:f>IF(SUMIFS($E$7:$E$286,$A$7:$A$286,A165,$B$7:$B$286,B165)=0,"",E165/SUMIFS($E$7:$E$286,$A$7:$A$286,A165,$B$7:$B$286,B165))</x:f>
        <x:v>0.09539272738964087</x:v>
      </x:c>
      <x:c r="J165" s="155" t="n">
        <x:f>IF(SUMIFS($F$7:$F$286,$A$7:$A$286,A165,$B$7:$B$286,B165)=0,"",F165/SUMIFS($F$7:$F$286,$A$7:$A$286,A165,$B$7:$B$286,B165))</x:f>
        <x:v>0</x:v>
      </x:c>
      <x:c r="K165" s="155" t="n">
        <x:f>IF(SUMIFS($G$7:$G$286,$A$7:$A$286,A165,$B$7:$B$286,B165)=0,"",G165/SUMIFS($G$7:$G$286,$A$7:$A$286,A165,$B$7:$B$286,B165))</x:f>
        <x:v>0.07902733584502963</x:v>
      </x:c>
      <x:c r="L165" s="1"/>
      <x:c r="M165" s="1"/>
      <x:c r="N165" s="1"/>
      <x:c r="O165" s="1"/>
      <x:c r="P165" s="1"/>
      <x:c r="Q165" s="1"/>
    </x:row>
    <x:row r="166">
      <x:c r="A166" s="151" t="n">
        <x:v>46054</x:v>
      </x:c>
      <x:c r="B166" s="152" t="str">
        <x:v>假日</x:v>
      </x:c>
      <x:c r="C166" s="152" t="str">
        <x:v>未投保或資料有誤</x:v>
      </x:c>
      <x:c r="D166" s="40" t="n">
        <x:v>0</x:v>
      </x:c>
      <x:c r="E166" s="40" t="n">
        <x:v>0</x:v>
      </x:c>
      <x:c r="F166" s="153" t="n">
        <x:v>75609</x:v>
      </x:c>
      <x:c r="G166" s="154" t="n">
        <x:f>SUM(D166:F166)</x:f>
        <x:v>75609</x:v>
      </x:c>
      <x:c r="H166" s="155" t="n">
        <x:f>IF(SUMIFS($D$7:$D$286,$A$7:$A$286,A166,$B$7:$B$286,B166)=0,"",D166/SUMIFS($D$7:$D$286,$A$7:$A$286,A166,$B$7:$B$286,B166))</x:f>
        <x:v>0</x:v>
      </x:c>
      <x:c r="I166" s="155" t="n">
        <x:f>IF(SUMIFS($E$7:$E$286,$A$7:$A$286,A166,$B$7:$B$286,B166)=0,"",E166/SUMIFS($E$7:$E$286,$A$7:$A$286,A166,$B$7:$B$286,B166))</x:f>
        <x:v>0</x:v>
      </x:c>
      <x:c r="J166" s="155" t="n">
        <x:f>IF(SUMIFS($F$7:$F$286,$A$7:$A$286,A166,$B$7:$B$286,B166)=0,"",F166/SUMIFS($F$7:$F$286,$A$7:$A$286,A166,$B$7:$B$286,B166))</x:f>
        <x:v>1</x:v>
      </x:c>
      <x:c r="K166" s="155" t="n">
        <x:f>IF(SUMIFS($G$7:$G$286,$A$7:$A$286,A166,$B$7:$B$286,B166)=0,"",G166/SUMIFS($G$7:$G$286,$A$7:$A$286,A166,$B$7:$B$286,B166))</x:f>
        <x:v>0.49198664766626976</x:v>
      </x:c>
      <x:c r="L166" s="1"/>
      <x:c r="M166" s="1"/>
      <x:c r="N166" s="1"/>
      <x:c r="O166" s="1"/>
      <x:c r="P166" s="1"/>
      <x:c r="Q166" s="1"/>
    </x:row>
    <x:row r="167">
      <x:c r="A167" s="151" t="n">
        <x:v>46082</x:v>
      </x:c>
      <x:c r="B167" s="152" t="str">
        <x:v>平日</x:v>
      </x:c>
      <x:c r="C167" s="152" t="str">
        <x:v>08~11歲</x:v>
      </x:c>
      <x:c r="D167" s="40" t="n">
        <x:v>302</x:v>
      </x:c>
      <x:c r="E167" s="40" t="n">
        <x:v>108</x:v>
      </x:c>
      <x:c r="F167" s="153" t="n">
        <x:v>0</x:v>
      </x:c>
      <x:c r="G167" s="154" t="n">
        <x:f>SUM(D167:F167)</x:f>
        <x:v>410</x:v>
      </x:c>
      <x:c r="H167" s="155" t="n">
        <x:f>IF(SUMIFS($D$7:$D$286,$A$7:$A$286,A167,$B$7:$B$286,B167)=0,"",D167/SUMIFS($D$7:$D$286,$A$7:$A$286,A167,$B$7:$B$286,B167))</x:f>
        <x:v>0.002028084266229711</x:v>
      </x:c>
      <x:c r="I167" s="155" t="n">
        <x:f>IF(SUMIFS($E$7:$E$286,$A$7:$A$286,A167,$B$7:$B$286,B167)=0,"",E167/SUMIFS($E$7:$E$286,$A$7:$A$286,A167,$B$7:$B$286,B167))</x:f>
        <x:v>0.0009645096183042492</x:v>
      </x:c>
      <x:c r="J167" s="155" t="n">
        <x:f>IF(SUMIFS($F$7:$F$286,$A$7:$A$286,A167,$B$7:$B$286,B167)=0,"",F167/SUMIFS($F$7:$F$286,$A$7:$A$286,A167,$B$7:$B$286,B167))</x:f>
        <x:v>0</x:v>
      </x:c>
      <x:c r="K167" s="155" t="n">
        <x:f>IF(SUMIFS($G$7:$G$286,$A$7:$A$286,A167,$B$7:$B$286,B167)=0,"",G167/SUMIFS($G$7:$G$286,$A$7:$A$286,A167,$B$7:$B$286,B167))</x:f>
        <x:v>0.0007732974724489199</x:v>
      </x:c>
      <x:c r="L167" s="1"/>
      <x:c r="M167" s="1"/>
      <x:c r="N167" s="1"/>
      <x:c r="O167" s="1"/>
      <x:c r="P167" s="1"/>
      <x:c r="Q167" s="1"/>
    </x:row>
    <x:row r="168">
      <x:c r="A168" s="151" t="n">
        <x:v>46082</x:v>
      </x:c>
      <x:c r="B168" s="152" t="str">
        <x:v>平日</x:v>
      </x:c>
      <x:c r="C168" s="152" t="str">
        <x:v>12~14歲</x:v>
      </x:c>
      <x:c r="D168" s="40" t="n">
        <x:v>4184</x:v>
      </x:c>
      <x:c r="E168" s="40" t="n">
        <x:v>1069</x:v>
      </x:c>
      <x:c r="F168" s="153" t="n">
        <x:v>0</x:v>
      </x:c>
      <x:c r="G168" s="154" t="n">
        <x:f>SUM(D168:F168)</x:f>
        <x:v>5253</x:v>
      </x:c>
      <x:c r="H168" s="155" t="n">
        <x:f>IF(SUMIFS($D$7:$D$286,$A$7:$A$286,A168,$B$7:$B$286,B168)=0,"",D168/SUMIFS($D$7:$D$286,$A$7:$A$286,A168,$B$7:$B$286,B168))</x:f>
        <x:v>0.028097697251341425</x:v>
      </x:c>
      <x:c r="I168" s="155" t="n">
        <x:f>IF(SUMIFS($E$7:$E$286,$A$7:$A$286,A168,$B$7:$B$286,B168)=0,"",E168/SUMIFS($E$7:$E$286,$A$7:$A$286,A168,$B$7:$B$286,B168))</x:f>
        <x:v>0.009546859092289282</x:v>
      </x:c>
      <x:c r="J168" s="155" t="n">
        <x:f>IF(SUMIFS($F$7:$F$286,$A$7:$A$286,A168,$B$7:$B$286,B168)=0,"",F168/SUMIFS($F$7:$F$286,$A$7:$A$286,A168,$B$7:$B$286,B168))</x:f>
        <x:v>0</x:v>
      </x:c>
      <x:c r="K168" s="155" t="n">
        <x:f>IF(SUMIFS($G$7:$G$286,$A$7:$A$286,A168,$B$7:$B$286,B168)=0,"",G168/SUMIFS($G$7:$G$286,$A$7:$A$286,A168,$B$7:$B$286,B168))</x:f>
        <x:v>0.00990763810432726</x:v>
      </x:c>
      <x:c r="L168" s="1"/>
      <x:c r="M168" s="1"/>
      <x:c r="N168" s="1"/>
      <x:c r="O168" s="1"/>
      <x:c r="P168" s="1"/>
      <x:c r="Q168" s="1"/>
    </x:row>
    <x:row r="169">
      <x:c r="A169" s="151" t="n">
        <x:v>46082</x:v>
      </x:c>
      <x:c r="B169" s="152" t="str">
        <x:v>平日</x:v>
      </x:c>
      <x:c r="C169" s="152" t="str">
        <x:v>15~17歲</x:v>
      </x:c>
      <x:c r="D169" s="40" t="n">
        <x:v>9036</x:v>
      </x:c>
      <x:c r="E169" s="40" t="n">
        <x:v>2873</x:v>
      </x:c>
      <x:c r="F169" s="153" t="n">
        <x:v>0</x:v>
      </x:c>
      <x:c r="G169" s="154" t="n">
        <x:f>SUM(D169:F169)</x:f>
        <x:v>11909</x:v>
      </x:c>
      <x:c r="H169" s="155" t="n">
        <x:f>IF(SUMIFS($D$7:$D$286,$A$7:$A$286,A169,$B$7:$B$286,B169)=0,"",D169/SUMIFS($D$7:$D$286,$A$7:$A$286,A169,$B$7:$B$286,B169))</x:f>
        <x:v>0.0606813557273234</x:v>
      </x:c>
      <x:c r="I169" s="155" t="n">
        <x:f>IF(SUMIFS($E$7:$E$286,$A$7:$A$286,A169,$B$7:$B$286,B169)=0,"",E169/SUMIFS($E$7:$E$286,$A$7:$A$286,A169,$B$7:$B$286,B169))</x:f>
        <x:v>0.025657741975815815</x:v>
      </x:c>
      <x:c r="J169" s="155" t="n">
        <x:f>IF(SUMIFS($F$7:$F$286,$A$7:$A$286,A169,$B$7:$B$286,B169)=0,"",F169/SUMIFS($F$7:$F$286,$A$7:$A$286,A169,$B$7:$B$286,B169))</x:f>
        <x:v>0</x:v>
      </x:c>
      <x:c r="K169" s="155" t="n">
        <x:f>IF(SUMIFS($G$7:$G$286,$A$7:$A$286,A169,$B$7:$B$286,B169)=0,"",G169/SUMIFS($G$7:$G$286,$A$7:$A$286,A169,$B$7:$B$286,B169))</x:f>
        <x:v>0.0224614624375468</x:v>
      </x:c>
      <x:c r="L169" s="1"/>
      <x:c r="M169" s="1"/>
      <x:c r="N169" s="1"/>
      <x:c r="O169" s="1"/>
      <x:c r="P169" s="1"/>
      <x:c r="Q169" s="1"/>
    </x:row>
    <x:row r="170">
      <x:c r="A170" s="151" t="n">
        <x:v>46082</x:v>
      </x:c>
      <x:c r="B170" s="152" t="str">
        <x:v>平日</x:v>
      </x:c>
      <x:c r="C170" s="152" t="str">
        <x:v>18~24歲</x:v>
      </x:c>
      <x:c r="D170" s="40" t="n">
        <x:v>15692</x:v>
      </x:c>
      <x:c r="E170" s="40" t="n">
        <x:v>12041</x:v>
      </x:c>
      <x:c r="F170" s="153" t="n">
        <x:v>0</x:v>
      </x:c>
      <x:c r="G170" s="154" t="n">
        <x:f>SUM(D170:F170)</x:f>
        <x:v>27733</x:v>
      </x:c>
      <x:c r="H170" s="155" t="n">
        <x:f>IF(SUMIFS($D$7:$D$286,$A$7:$A$286,A170,$B$7:$B$286,B170)=0,"",D170/SUMIFS($D$7:$D$286,$A$7:$A$286,A170,$B$7:$B$286,B170))</x:f>
        <x:v>0.10537979571416099</x:v>
      </x:c>
      <x:c r="I170" s="155" t="n">
        <x:f>IF(SUMIFS($E$7:$E$286,$A$7:$A$286,A170,$B$7:$B$286,B170)=0,"",E170/SUMIFS($E$7:$E$286,$A$7:$A$286,A170,$B$7:$B$286,B170))</x:f>
        <x:v>0.10753389179630986</x:v>
      </x:c>
      <x:c r="J170" s="155" t="n">
        <x:f>IF(SUMIFS($F$7:$F$286,$A$7:$A$286,A170,$B$7:$B$286,B170)=0,"",F170/SUMIFS($F$7:$F$286,$A$7:$A$286,A170,$B$7:$B$286,B170))</x:f>
        <x:v>0</x:v>
      </x:c>
      <x:c r="K170" s="155" t="n">
        <x:f>IF(SUMIFS($G$7:$G$286,$A$7:$A$286,A170,$B$7:$B$286,B170)=0,"",G170/SUMIFS($G$7:$G$286,$A$7:$A$286,A170,$B$7:$B$286,B170))</x:f>
        <x:v>0.05230697269128268</x:v>
      </x:c>
      <x:c r="L170" s="1"/>
      <x:c r="M170" s="1"/>
      <x:c r="N170" s="1"/>
      <x:c r="O170" s="1"/>
      <x:c r="P170" s="1"/>
      <x:c r="Q170" s="1"/>
    </x:row>
    <x:row r="171">
      <x:c r="A171" s="151" t="n">
        <x:v>46082</x:v>
      </x:c>
      <x:c r="B171" s="152" t="str">
        <x:v>平日</x:v>
      </x:c>
      <x:c r="C171" s="152" t="str">
        <x:v>25~34歲</x:v>
      </x:c>
      <x:c r="D171" s="40" t="n">
        <x:v>30798</x:v>
      </x:c>
      <x:c r="E171" s="40" t="n">
        <x:v>27940</x:v>
      </x:c>
      <x:c r="F171" s="153" t="n">
        <x:v>0</x:v>
      </x:c>
      <x:c r="G171" s="154" t="n">
        <x:f>SUM(D171:F171)</x:f>
        <x:v>58738</x:v>
      </x:c>
      <x:c r="H171" s="155" t="n">
        <x:f>IF(SUMIFS($D$7:$D$286,$A$7:$A$286,A171,$B$7:$B$286,B171)=0,"",D171/SUMIFS($D$7:$D$286,$A$7:$A$286,A171,$B$7:$B$286,B171))</x:f>
        <x:v>0.2068243020905385</x:v>
      </x:c>
      <x:c r="I171" s="155" t="n">
        <x:f>IF(SUMIFS($E$7:$E$286,$A$7:$A$286,A171,$B$7:$B$286,B171)=0,"",E171/SUMIFS($E$7:$E$286,$A$7:$A$286,A171,$B$7:$B$286,B171))</x:f>
        <x:v>0.24952221051315485</x:v>
      </x:c>
      <x:c r="J171" s="155" t="n">
        <x:f>IF(SUMIFS($F$7:$F$286,$A$7:$A$286,A171,$B$7:$B$286,B171)=0,"",F171/SUMIFS($F$7:$F$286,$A$7:$A$286,A171,$B$7:$B$286,B171))</x:f>
        <x:v>0</x:v>
      </x:c>
      <x:c r="K171" s="155" t="n">
        <x:f>IF(SUMIFS($G$7:$G$286,$A$7:$A$286,A171,$B$7:$B$286,B171)=0,"",G171/SUMIFS($G$7:$G$286,$A$7:$A$286,A171,$B$7:$B$286,B171))</x:f>
        <x:v>0.11078523643098698</x:v>
      </x:c>
      <x:c r="L171" s="1"/>
      <x:c r="M171" s="1"/>
      <x:c r="N171" s="1"/>
      <x:c r="O171" s="1"/>
      <x:c r="P171" s="1"/>
      <x:c r="Q171" s="1"/>
    </x:row>
    <x:row r="172">
      <x:c r="A172" s="151" t="n">
        <x:v>46082</x:v>
      </x:c>
      <x:c r="B172" s="152" t="str">
        <x:v>平日</x:v>
      </x:c>
      <x:c r="C172" s="152" t="str">
        <x:v>35~44歲</x:v>
      </x:c>
      <x:c r="D172" s="40" t="n">
        <x:v>27182</x:v>
      </x:c>
      <x:c r="E172" s="40" t="n">
        <x:v>26388</x:v>
      </x:c>
      <x:c r="F172" s="153" t="n">
        <x:v>0</x:v>
      </x:c>
      <x:c r="G172" s="154" t="n">
        <x:f>SUM(D172:F172)</x:f>
        <x:v>53570</x:v>
      </x:c>
      <x:c r="H172" s="155" t="n">
        <x:f>IF(SUMIFS($D$7:$D$286,$A$7:$A$286,A172,$B$7:$B$286,B172)=0,"",D172/SUMIFS($D$7:$D$286,$A$7:$A$286,A172,$B$7:$B$286,B172))</x:f>
        <x:v>0.18254101498230463</x:v>
      </x:c>
      <x:c r="I172" s="155" t="n">
        <x:f>IF(SUMIFS($E$7:$E$286,$A$7:$A$286,A172,$B$7:$B$286,B172)=0,"",E172/SUMIFS($E$7:$E$286,$A$7:$A$286,A172,$B$7:$B$286,B172))</x:f>
        <x:v>0.23566185007233822</x:v>
      </x:c>
      <x:c r="J172" s="155" t="n">
        <x:f>IF(SUMIFS($F$7:$F$286,$A$7:$A$286,A172,$B$7:$B$286,B172)=0,"",F172/SUMIFS($F$7:$F$286,$A$7:$A$286,A172,$B$7:$B$286,B172))</x:f>
        <x:v>0</x:v>
      </x:c>
      <x:c r="K172" s="155" t="n">
        <x:f>IF(SUMIFS($G$7:$G$286,$A$7:$A$286,A172,$B$7:$B$286,B172)=0,"",G172/SUMIFS($G$7:$G$286,$A$7:$A$286,A172,$B$7:$B$286,B172))</x:f>
        <x:v>0.10103791609533815</x:v>
      </x:c>
      <x:c r="L172" s="1"/>
      <x:c r="M172" s="1"/>
      <x:c r="N172" s="1"/>
      <x:c r="O172" s="1"/>
      <x:c r="P172" s="1"/>
      <x:c r="Q172" s="1"/>
    </x:row>
    <x:row r="173">
      <x:c r="A173" s="151" t="n">
        <x:v>46082</x:v>
      </x:c>
      <x:c r="B173" s="152" t="str">
        <x:v>平日</x:v>
      </x:c>
      <x:c r="C173" s="152" t="str">
        <x:v>45~54歲</x:v>
      </x:c>
      <x:c r="D173" s="40" t="n">
        <x:v>22086</x:v>
      </x:c>
      <x:c r="E173" s="40" t="n">
        <x:v>21749</x:v>
      </x:c>
      <x:c r="F173" s="153" t="n">
        <x:v>0</x:v>
      </x:c>
      <x:c r="G173" s="154" t="n">
        <x:f>SUM(D173:F173)</x:f>
        <x:v>43835</x:v>
      </x:c>
      <x:c r="H173" s="155" t="n">
        <x:f>IF(SUMIFS($D$7:$D$286,$A$7:$A$286,A173,$B$7:$B$286,B173)=0,"",D173/SUMIFS($D$7:$D$286,$A$7:$A$286,A173,$B$7:$B$286,B173))</x:f>
        <x:v>0.1483187718673821</x:v>
      </x:c>
      <x:c r="I173" s="155" t="n">
        <x:f>IF(SUMIFS($E$7:$E$286,$A$7:$A$286,A173,$B$7:$B$286,B173)=0,"",E173/SUMIFS($E$7:$E$286,$A$7:$A$286,A173,$B$7:$B$286,B173))</x:f>
        <x:v>0.19423258970832516</x:v>
      </x:c>
      <x:c r="J173" s="155" t="n">
        <x:f>IF(SUMIFS($F$7:$F$286,$A$7:$A$286,A173,$B$7:$B$286,B173)=0,"",F173/SUMIFS($F$7:$F$286,$A$7:$A$286,A173,$B$7:$B$286,B173))</x:f>
        <x:v>0</x:v>
      </x:c>
      <x:c r="K173" s="155" t="n">
        <x:f>IF(SUMIFS($G$7:$G$286,$A$7:$A$286,A173,$B$7:$B$286,B173)=0,"",G173/SUMIFS($G$7:$G$286,$A$7:$A$286,A173,$B$7:$B$286,B173))</x:f>
        <x:v>0.08267681635316684</x:v>
      </x:c>
      <x:c r="L173" s="1"/>
      <x:c r="M173" s="1"/>
      <x:c r="N173" s="1"/>
      <x:c r="O173" s="1"/>
      <x:c r="P173" s="1"/>
      <x:c r="Q173" s="1"/>
    </x:row>
    <x:row r="174">
      <x:c r="A174" s="151" t="n">
        <x:v>46082</x:v>
      </x:c>
      <x:c r="B174" s="152" t="str">
        <x:v>平日</x:v>
      </x:c>
      <x:c r="C174" s="152" t="str">
        <x:v>55~64歲</x:v>
      </x:c>
      <x:c r="D174" s="40" t="n">
        <x:v>14240</x:v>
      </x:c>
      <x:c r="E174" s="40" t="n">
        <x:v>11156</x:v>
      </x:c>
      <x:c r="F174" s="153" t="n">
        <x:v>0</x:v>
      </x:c>
      <x:c r="G174" s="154" t="n">
        <x:f>SUM(D174:F174)</x:f>
        <x:v>25396</x:v>
      </x:c>
      <x:c r="H174" s="155" t="n">
        <x:f>IF(SUMIFS($D$7:$D$286,$A$7:$A$286,A174,$B$7:$B$286,B174)=0,"",D174/SUMIFS($D$7:$D$286,$A$7:$A$286,A174,$B$7:$B$286,B174))</x:f>
        <x:v>0.0956288740103016</x:v>
      </x:c>
      <x:c r="I174" s="155" t="n">
        <x:f>IF(SUMIFS($E$7:$E$286,$A$7:$A$286,A174,$B$7:$B$286,B174)=0,"",E174/SUMIFS($E$7:$E$286,$A$7:$A$286,A174,$B$7:$B$286,B174))</x:f>
        <x:v>0.09963027131298337</x:v>
      </x:c>
      <x:c r="J174" s="155" t="n">
        <x:f>IF(SUMIFS($F$7:$F$286,$A$7:$A$286,A174,$B$7:$B$286,B174)=0,"",F174/SUMIFS($F$7:$F$286,$A$7:$A$286,A174,$B$7:$B$286,B174))</x:f>
        <x:v>0</x:v>
      </x:c>
      <x:c r="K174" s="155" t="n">
        <x:f>IF(SUMIFS($G$7:$G$286,$A$7:$A$286,A174,$B$7:$B$286,B174)=0,"",G174/SUMIFS($G$7:$G$286,$A$7:$A$286,A174,$B$7:$B$286,B174))</x:f>
        <x:v>0.04789917709832383</x:v>
      </x:c>
      <x:c r="L174" s="1"/>
      <x:c r="M174" s="1"/>
      <x:c r="N174" s="1"/>
      <x:c r="O174" s="1"/>
      <x:c r="P174" s="1"/>
      <x:c r="Q174" s="1"/>
    </x:row>
    <x:row r="175">
      <x:c r="A175" s="151" t="n">
        <x:v>46082</x:v>
      </x:c>
      <x:c r="B175" s="152" t="str">
        <x:v>平日</x:v>
      </x:c>
      <x:c r="C175" s="152" t="str">
        <x:v>65~100歲</x:v>
      </x:c>
      <x:c r="D175" s="40" t="n">
        <x:v>25389</x:v>
      </x:c>
      <x:c r="E175" s="40" t="n">
        <x:v>8650</x:v>
      </x:c>
      <x:c r="F175" s="153" t="n">
        <x:v>0</x:v>
      </x:c>
      <x:c r="G175" s="154" t="n">
        <x:f>SUM(D175:F175)</x:f>
        <x:v>34039</x:v>
      </x:c>
      <x:c r="H175" s="155" t="n">
        <x:f>IF(SUMIFS($D$7:$D$286,$A$7:$A$286,A175,$B$7:$B$286,B175)=0,"",D175/SUMIFS($D$7:$D$286,$A$7:$A$286,A175,$B$7:$B$286,B175))</x:f>
        <x:v>0.17050010409041763</x:v>
      </x:c>
      <x:c r="I175" s="155" t="n">
        <x:f>IF(SUMIFS($E$7:$E$286,$A$7:$A$286,A175,$B$7:$B$286,B175)=0,"",E175/SUMIFS($E$7:$E$286,$A$7:$A$286,A175,$B$7:$B$286,B175))</x:f>
        <x:v>0.07725007591047922</x:v>
      </x:c>
      <x:c r="J175" s="155" t="n">
        <x:f>IF(SUMIFS($F$7:$F$286,$A$7:$A$286,A175,$B$7:$B$286,B175)=0,"",F175/SUMIFS($F$7:$F$286,$A$7:$A$286,A175,$B$7:$B$286,B175))</x:f>
        <x:v>0</x:v>
      </x:c>
      <x:c r="K175" s="155" t="n">
        <x:f>IF(SUMIFS($G$7:$G$286,$A$7:$A$286,A175,$B$7:$B$286,B175)=0,"",G175/SUMIFS($G$7:$G$286,$A$7:$A$286,A175,$B$7:$B$286,B175))</x:f>
        <x:v>0.0642006650358263</x:v>
      </x:c>
      <x:c r="L175" s="1"/>
      <x:c r="M175" s="1"/>
      <x:c r="N175" s="1"/>
      <x:c r="O175" s="1"/>
      <x:c r="P175" s="1"/>
      <x:c r="Q175" s="1"/>
    </x:row>
    <x:row r="176">
      <x:c r="A176" s="151" t="n">
        <x:v>46082</x:v>
      </x:c>
      <x:c r="B176" s="152" t="str">
        <x:v>平日</x:v>
      </x:c>
      <x:c r="C176" s="152" t="str">
        <x:v>未投保或資料有誤</x:v>
      </x:c>
      <x:c r="D176" s="40" t="n">
        <x:v>0</x:v>
      </x:c>
      <x:c r="E176" s="40" t="n">
        <x:v>0</x:v>
      </x:c>
      <x:c r="F176" s="153" t="n">
        <x:v>269314</x:v>
      </x:c>
      <x:c r="G176" s="154" t="n">
        <x:f>SUM(D176:F176)</x:f>
        <x:v>269314</x:v>
      </x:c>
      <x:c r="H176" s="155" t="n">
        <x:f>IF(SUMIFS($D$7:$D$286,$A$7:$A$286,A176,$B$7:$B$286,B176)=0,"",D176/SUMIFS($D$7:$D$286,$A$7:$A$286,A176,$B$7:$B$286,B176))</x:f>
        <x:v>0</x:v>
      </x:c>
      <x:c r="I176" s="155" t="n">
        <x:f>IF(SUMIFS($E$7:$E$286,$A$7:$A$286,A176,$B$7:$B$286,B176)=0,"",E176/SUMIFS($E$7:$E$286,$A$7:$A$286,A176,$B$7:$B$286,B176))</x:f>
        <x:v>0</x:v>
      </x:c>
      <x:c r="J176" s="155" t="n">
        <x:f>IF(SUMIFS($F$7:$F$286,$A$7:$A$286,A176,$B$7:$B$286,B176)=0,"",F176/SUMIFS($F$7:$F$286,$A$7:$A$286,A176,$B$7:$B$286,B176))</x:f>
        <x:v>1</x:v>
      </x:c>
      <x:c r="K176" s="155" t="n">
        <x:f>IF(SUMIFS($G$7:$G$286,$A$7:$A$286,A176,$B$7:$B$286,B176)=0,"",G176/SUMIFS($G$7:$G$286,$A$7:$A$286,A176,$B$7:$B$286,B176))</x:f>
        <x:v>0.5079508182807523</x:v>
      </x:c>
      <x:c r="L176" s="1"/>
      <x:c r="M176" s="1"/>
      <x:c r="N176" s="1"/>
      <x:c r="O176" s="1"/>
      <x:c r="P176" s="1"/>
      <x:c r="Q176" s="1"/>
    </x:row>
    <x:row r="177">
      <x:c r="A177" s="151" t="n">
        <x:v>46082</x:v>
      </x:c>
      <x:c r="B177" s="152" t="str">
        <x:v>假日</x:v>
      </x:c>
      <x:c r="C177" s="152" t="str">
        <x:v>08~11歲</x:v>
      </x:c>
      <x:c r="D177" s="40" t="n">
        <x:v>228</x:v>
      </x:c>
      <x:c r="E177" s="40" t="n">
        <x:v>108</x:v>
      </x:c>
      <x:c r="F177" s="153" t="n">
        <x:v>0</x:v>
      </x:c>
      <x:c r="G177" s="154" t="n">
        <x:f>SUM(D177:F177)</x:f>
        <x:v>336</x:v>
      </x:c>
      <x:c r="H177" s="155" t="n">
        <x:f>IF(SUMIFS($D$7:$D$286,$A$7:$A$286,A177,$B$7:$B$286,B177)=0,"",D177/SUMIFS($D$7:$D$286,$A$7:$A$286,A177,$B$7:$B$286,B177))</x:f>
        <x:v>0.003566902895761956</x:v>
      </x:c>
      <x:c r="I177" s="155" t="n">
        <x:f>IF(SUMIFS($E$7:$E$286,$A$7:$A$286,A177,$B$7:$B$286,B177)=0,"",E177/SUMIFS($E$7:$E$286,$A$7:$A$286,A177,$B$7:$B$286,B177))</x:f>
        <x:v>0.0023140708362794885</x:v>
      </x:c>
      <x:c r="J177" s="155" t="n">
        <x:f>IF(SUMIFS($F$7:$F$286,$A$7:$A$286,A177,$B$7:$B$286,B177)=0,"",F177/SUMIFS($F$7:$F$286,$A$7:$A$286,A177,$B$7:$B$286,B177))</x:f>
        <x:v>0</x:v>
      </x:c>
      <x:c r="K177" s="155" t="n">
        <x:f>IF(SUMIFS($G$7:$G$286,$A$7:$A$286,A177,$B$7:$B$286,B177)=0,"",G177/SUMIFS($G$7:$G$286,$A$7:$A$286,A177,$B$7:$B$286,B177))</x:f>
        <x:v>0.0014515104780912637</x:v>
      </x:c>
      <x:c r="L177" s="1"/>
      <x:c r="M177" s="1"/>
      <x:c r="N177" s="1"/>
      <x:c r="O177" s="1"/>
      <x:c r="P177" s="1"/>
      <x:c r="Q177" s="1"/>
    </x:row>
    <x:row r="178">
      <x:c r="A178" s="151" t="n">
        <x:v>46082</x:v>
      </x:c>
      <x:c r="B178" s="152" t="str">
        <x:v>假日</x:v>
      </x:c>
      <x:c r="C178" s="152" t="str">
        <x:v>12~14歲</x:v>
      </x:c>
      <x:c r="D178" s="40" t="n">
        <x:v>1630</x:v>
      </x:c>
      <x:c r="E178" s="40" t="n">
        <x:v>498</x:v>
      </x:c>
      <x:c r="F178" s="153" t="n">
        <x:v>0</x:v>
      </x:c>
      <x:c r="G178" s="154" t="n">
        <x:f>SUM(D178:F178)</x:f>
        <x:v>2128</x:v>
      </x:c>
      <x:c r="H178" s="155" t="n">
        <x:f>IF(SUMIFS($D$7:$D$286,$A$7:$A$286,A178,$B$7:$B$286,B178)=0,"",D178/SUMIFS($D$7:$D$286,$A$7:$A$286,A178,$B$7:$B$286,B178))</x:f>
        <x:v>0.025500226842508723</x:v>
      </x:c>
      <x:c r="I178" s="155" t="n">
        <x:f>IF(SUMIFS($E$7:$E$286,$A$7:$A$286,A178,$B$7:$B$286,B178)=0,"",E178/SUMIFS($E$7:$E$286,$A$7:$A$286,A178,$B$7:$B$286,B178))</x:f>
        <x:v>0.010670437745066529</x:v>
      </x:c>
      <x:c r="J178" s="155" t="n">
        <x:f>IF(SUMIFS($F$7:$F$286,$A$7:$A$286,A178,$B$7:$B$286,B178)=0,"",F178/SUMIFS($F$7:$F$286,$A$7:$A$286,A178,$B$7:$B$286,B178))</x:f>
        <x:v>0</x:v>
      </x:c>
      <x:c r="K178" s="155" t="n">
        <x:f>IF(SUMIFS($G$7:$G$286,$A$7:$A$286,A178,$B$7:$B$286,B178)=0,"",G178/SUMIFS($G$7:$G$286,$A$7:$A$286,A178,$B$7:$B$286,B178))</x:f>
        <x:v>0.009192899694578004</x:v>
      </x:c>
      <x:c r="L178" s="1"/>
      <x:c r="M178" s="1"/>
      <x:c r="N178" s="1"/>
      <x:c r="O178" s="1"/>
      <x:c r="P178" s="1"/>
      <x:c r="Q178" s="1"/>
    </x:row>
    <x:row r="179">
      <x:c r="A179" s="151" t="n">
        <x:v>46082</x:v>
      </x:c>
      <x:c r="B179" s="152" t="str">
        <x:v>假日</x:v>
      </x:c>
      <x:c r="C179" s="152" t="str">
        <x:v>15~17歲</x:v>
      </x:c>
      <x:c r="D179" s="40" t="n">
        <x:v>2883</x:v>
      </x:c>
      <x:c r="E179" s="40" t="n">
        <x:v>1133</x:v>
      </x:c>
      <x:c r="F179" s="153" t="n">
        <x:v>0</x:v>
      </x:c>
      <x:c r="G179" s="154" t="n">
        <x:f>SUM(D179:F179)</x:f>
        <x:v>4016</x:v>
      </x:c>
      <x:c r="H179" s="155" t="n">
        <x:f>IF(SUMIFS($D$7:$D$286,$A$7:$A$286,A179,$B$7:$B$286,B179)=0,"",D179/SUMIFS($D$7:$D$286,$A$7:$A$286,A179,$B$7:$B$286,B179))</x:f>
        <x:v>0.04510254845825316</x:v>
      </x:c>
      <x:c r="I179" s="155" t="n">
        <x:f>IF(SUMIFS($E$7:$E$286,$A$7:$A$286,A179,$B$7:$B$286,B179)=0,"",E179/SUMIFS($E$7:$E$286,$A$7:$A$286,A179,$B$7:$B$286,B179))</x:f>
        <x:v>0.024276317199117225</x:v>
      </x:c>
      <x:c r="J179" s="155" t="n">
        <x:f>IF(SUMIFS($F$7:$F$286,$A$7:$A$286,A179,$B$7:$B$286,B179)=0,"",F179/SUMIFS($F$7:$F$286,$A$7:$A$286,A179,$B$7:$B$286,B179))</x:f>
        <x:v>0</x:v>
      </x:c>
      <x:c r="K179" s="155" t="n">
        <x:f>IF(SUMIFS($G$7:$G$286,$A$7:$A$286,A179,$B$7:$B$286,B179)=0,"",G179/SUMIFS($G$7:$G$286,$A$7:$A$286,A179,$B$7:$B$286,B179))</x:f>
        <x:v>0.01734900619051939</x:v>
      </x:c>
      <x:c r="L179" s="1"/>
      <x:c r="M179" s="1"/>
      <x:c r="N179" s="1"/>
      <x:c r="O179" s="1"/>
      <x:c r="P179" s="1"/>
      <x:c r="Q179" s="1"/>
    </x:row>
    <x:row r="180">
      <x:c r="A180" s="151" t="n">
        <x:v>46082</x:v>
      </x:c>
      <x:c r="B180" s="152" t="str">
        <x:v>假日</x:v>
      </x:c>
      <x:c r="C180" s="152" t="str">
        <x:v>18~24歲</x:v>
      </x:c>
      <x:c r="D180" s="40" t="n">
        <x:v>6211</x:v>
      </x:c>
      <x:c r="E180" s="40" t="n">
        <x:v>4755</x:v>
      </x:c>
      <x:c r="F180" s="153" t="n">
        <x:v>0</x:v>
      </x:c>
      <x:c r="G180" s="154" t="n">
        <x:f>SUM(D180:F180)</x:f>
        <x:v>10966</x:v>
      </x:c>
      <x:c r="H180" s="155" t="n">
        <x:f>IF(SUMIFS($D$7:$D$286,$A$7:$A$286,A180,$B$7:$B$286,B180)=0,"",D180/SUMIFS($D$7:$D$286,$A$7:$A$286,A180,$B$7:$B$286,B180))</x:f>
        <x:v>0.09716681528762065</x:v>
      </x:c>
      <x:c r="I180" s="155" t="n">
        <x:f>IF(SUMIFS($E$7:$E$286,$A$7:$A$286,A180,$B$7:$B$286,B180)=0,"",E180/SUMIFS($E$7:$E$286,$A$7:$A$286,A180,$B$7:$B$286,B180))</x:f>
        <x:v>0.10188339654174969</x:v>
      </x:c>
      <x:c r="J180" s="155" t="n">
        <x:f>IF(SUMIFS($F$7:$F$286,$A$7:$A$286,A180,$B$7:$B$286,B180)=0,"",F180/SUMIFS($F$7:$F$286,$A$7:$A$286,A180,$B$7:$B$286,B180))</x:f>
        <x:v>0</x:v>
      </x:c>
      <x:c r="K180" s="155" t="n">
        <x:f>IF(SUMIFS($G$7:$G$286,$A$7:$A$286,A180,$B$7:$B$286,B180)=0,"",G180/SUMIFS($G$7:$G$286,$A$7:$A$286,A180,$B$7:$B$286,B180))</x:f>
        <x:v>0.04737280923437142</x:v>
      </x:c>
      <x:c r="L180" s="1"/>
      <x:c r="M180" s="1"/>
      <x:c r="N180" s="1"/>
      <x:c r="O180" s="1"/>
      <x:c r="P180" s="1"/>
      <x:c r="Q180" s="1"/>
    </x:row>
    <x:row r="181">
      <x:c r="A181" s="151" t="n">
        <x:v>46082</x:v>
      </x:c>
      <x:c r="B181" s="152" t="str">
        <x:v>假日</x:v>
      </x:c>
      <x:c r="C181" s="152" t="str">
        <x:v>25~34歲</x:v>
      </x:c>
      <x:c r="D181" s="40" t="n">
        <x:v>13034</x:v>
      </x:c>
      <x:c r="E181" s="40" t="n">
        <x:v>11115</x:v>
      </x:c>
      <x:c r="F181" s="153" t="n">
        <x:v>0</x:v>
      </x:c>
      <x:c r="G181" s="154" t="n">
        <x:f>SUM(D181:F181)</x:f>
        <x:v>24149</x:v>
      </x:c>
      <x:c r="H181" s="155" t="n">
        <x:f>IF(SUMIFS($D$7:$D$286,$A$7:$A$286,A181,$B$7:$B$286,B181)=0,"",D181/SUMIFS($D$7:$D$286,$A$7:$A$286,A181,$B$7:$B$286,B181))</x:f>
        <x:v>0.20390794887439181</x:v>
      </x:c>
      <x:c r="I181" s="155" t="n">
        <x:f>IF(SUMIFS($E$7:$E$286,$A$7:$A$286,A181,$B$7:$B$286,B181)=0,"",E181/SUMIFS($E$7:$E$286,$A$7:$A$286,A181,$B$7:$B$286,B181))</x:f>
        <x:v>0.23815645690043066</x:v>
      </x:c>
      <x:c r="J181" s="155" t="n">
        <x:f>IF(SUMIFS($F$7:$F$286,$A$7:$A$286,A181,$B$7:$B$286,B181)=0,"",F181/SUMIFS($F$7:$F$286,$A$7:$A$286,A181,$B$7:$B$286,B181))</x:f>
        <x:v>0</x:v>
      </x:c>
      <x:c r="K181" s="155" t="n">
        <x:f>IF(SUMIFS($G$7:$G$286,$A$7:$A$286,A181,$B$7:$B$286,B181)=0,"",G181/SUMIFS($G$7:$G$286,$A$7:$A$286,A181,$B$7:$B$286,B181))</x:f>
        <x:v>0.1043229956411486</x:v>
      </x:c>
      <x:c r="L181" s="1"/>
      <x:c r="M181" s="1"/>
      <x:c r="N181" s="1"/>
      <x:c r="O181" s="1"/>
      <x:c r="P181" s="1"/>
      <x:c r="Q181" s="1"/>
    </x:row>
    <x:row r="182">
      <x:c r="A182" s="151" t="n">
        <x:v>46082</x:v>
      </x:c>
      <x:c r="B182" s="152" t="str">
        <x:v>假日</x:v>
      </x:c>
      <x:c r="C182" s="152" t="str">
        <x:v>35~44歲</x:v>
      </x:c>
      <x:c r="D182" s="40" t="n">
        <x:v>11694</x:v>
      </x:c>
      <x:c r="E182" s="40" t="n">
        <x:v>10086</x:v>
      </x:c>
      <x:c r="F182" s="153" t="n">
        <x:v>0</x:v>
      </x:c>
      <x:c r="G182" s="154" t="n">
        <x:f>SUM(D182:F182)</x:f>
        <x:v>21780</x:v>
      </x:c>
      <x:c r="H182" s="155" t="n">
        <x:f>IF(SUMIFS($D$7:$D$286,$A$7:$A$286,A182,$B$7:$B$286,B182)=0,"",D182/SUMIFS($D$7:$D$286,$A$7:$A$286,A182,$B$7:$B$286,B182))</x:f>
        <x:v>0.18294457220631719</x:v>
      </x:c>
      <x:c r="I182" s="155" t="n">
        <x:f>IF(SUMIFS($E$7:$E$286,$A$7:$A$286,A182,$B$7:$B$286,B182)=0,"",E182/SUMIFS($E$7:$E$286,$A$7:$A$286,A182,$B$7:$B$286,B182))</x:f>
        <x:v>0.21610850421032332</x:v>
      </x:c>
      <x:c r="J182" s="155" t="n">
        <x:f>IF(SUMIFS($F$7:$F$286,$A$7:$A$286,A182,$B$7:$B$286,B182)=0,"",F182/SUMIFS($F$7:$F$286,$A$7:$A$286,A182,$B$7:$B$286,B182))</x:f>
        <x:v>0</x:v>
      </x:c>
      <x:c r="K182" s="155" t="n">
        <x:f>IF(SUMIFS($G$7:$G$286,$A$7:$A$286,A182,$B$7:$B$286,B182)=0,"",G182/SUMIFS($G$7:$G$286,$A$7:$A$286,A182,$B$7:$B$286,B182))</x:f>
        <x:v>0.09408898277627299</x:v>
      </x:c>
      <x:c r="L182" s="1"/>
      <x:c r="M182" s="1"/>
      <x:c r="N182" s="1"/>
      <x:c r="O182" s="1"/>
      <x:c r="P182" s="1"/>
      <x:c r="Q182" s="1"/>
    </x:row>
    <x:row r="183">
      <x:c r="A183" s="151" t="n">
        <x:v>46082</x:v>
      </x:c>
      <x:c r="B183" s="152" t="str">
        <x:v>假日</x:v>
      </x:c>
      <x:c r="C183" s="152" t="str">
        <x:v>45~54歲</x:v>
      </x:c>
      <x:c r="D183" s="40" t="n">
        <x:v>10365</x:v>
      </x:c>
      <x:c r="E183" s="40" t="n">
        <x:v>10073</x:v>
      </x:c>
      <x:c r="F183" s="153" t="n">
        <x:v>0</x:v>
      </x:c>
      <x:c r="G183" s="154" t="n">
        <x:f>SUM(D183:F183)</x:f>
        <x:v>20438</x:v>
      </x:c>
      <x:c r="H183" s="155" t="n">
        <x:f>IF(SUMIFS($D$7:$D$286,$A$7:$A$286,A183,$B$7:$B$286,B183)=0,"",D183/SUMIFS($D$7:$D$286,$A$7:$A$286,A183,$B$7:$B$286,B183))</x:f>
        <x:v>0.16215328295865208</x:v>
      </x:c>
      <x:c r="I183" s="155" t="n">
        <x:f>IF(SUMIFS($E$7:$E$286,$A$7:$A$286,A183,$B$7:$B$286,B183)=0,"",E183/SUMIFS($E$7:$E$286,$A$7:$A$286,A183,$B$7:$B$286,B183))</x:f>
        <x:v>0.2158299586466971</x:v>
      </x:c>
      <x:c r="J183" s="155" t="n">
        <x:f>IF(SUMIFS($F$7:$F$286,$A$7:$A$286,A183,$B$7:$B$286,B183)=0,"",F183/SUMIFS($F$7:$F$286,$A$7:$A$286,A183,$B$7:$B$286,B183))</x:f>
        <x:v>0</x:v>
      </x:c>
      <x:c r="K183" s="155" t="n">
        <x:f>IF(SUMIFS($G$7:$G$286,$A$7:$A$286,A183,$B$7:$B$286,B183)=0,"",G183/SUMIFS($G$7:$G$286,$A$7:$A$286,A183,$B$7:$B$286,B183))</x:f>
        <x:v>0.0882915808072299</x:v>
      </x:c>
      <x:c r="L183" s="1"/>
      <x:c r="M183" s="1"/>
      <x:c r="N183" s="1"/>
      <x:c r="O183" s="1"/>
      <x:c r="P183" s="1"/>
      <x:c r="Q183" s="1"/>
    </x:row>
    <x:row r="184">
      <x:c r="A184" s="151" t="n">
        <x:v>46082</x:v>
      </x:c>
      <x:c r="B184" s="152" t="str">
        <x:v>假日</x:v>
      </x:c>
      <x:c r="C184" s="152" t="str">
        <x:v>55~64歲</x:v>
      </x:c>
      <x:c r="D184" s="40" t="n">
        <x:v>6535</x:v>
      </x:c>
      <x:c r="E184" s="40" t="n">
        <x:v>4968</x:v>
      </x:c>
      <x:c r="F184" s="153" t="n">
        <x:v>0</x:v>
      </x:c>
      <x:c r="G184" s="154" t="n">
        <x:f>SUM(D184:F184)</x:f>
        <x:v>11503</x:v>
      </x:c>
      <x:c r="H184" s="155" t="n">
        <x:f>IF(SUMIFS($D$7:$D$286,$A$7:$A$286,A184,$B$7:$B$286,B184)=0,"",D184/SUMIFS($D$7:$D$286,$A$7:$A$286,A184,$B$7:$B$286,B184))</x:f>
        <x:v>0.10223557203422975</x:v>
      </x:c>
      <x:c r="I184" s="155" t="n">
        <x:f>IF(SUMIFS($E$7:$E$286,$A$7:$A$286,A184,$B$7:$B$286,B184)=0,"",E184/SUMIFS($E$7:$E$286,$A$7:$A$286,A184,$B$7:$B$286,B184))</x:f>
        <x:v>0.10644725846885646</x:v>
      </x:c>
      <x:c r="J184" s="155" t="n">
        <x:f>IF(SUMIFS($F$7:$F$286,$A$7:$A$286,A184,$B$7:$B$286,B184)=0,"",F184/SUMIFS($F$7:$F$286,$A$7:$A$286,A184,$B$7:$B$286,B184))</x:f>
        <x:v>0</x:v>
      </x:c>
      <x:c r="K184" s="155" t="n">
        <x:f>IF(SUMIFS($G$7:$G$286,$A$7:$A$286,A184,$B$7:$B$286,B184)=0,"",G184/SUMIFS($G$7:$G$286,$A$7:$A$286,A184,$B$7:$B$286,B184))</x:f>
        <x:v>0.049692634016320854</x:v>
      </x:c>
      <x:c r="L184" s="1"/>
      <x:c r="M184" s="1"/>
      <x:c r="N184" s="1"/>
      <x:c r="O184" s="1"/>
      <x:c r="P184" s="1"/>
      <x:c r="Q184" s="1"/>
    </x:row>
    <x:row r="185">
      <x:c r="A185" s="151" t="n">
        <x:v>46082</x:v>
      </x:c>
      <x:c r="B185" s="152" t="str">
        <x:v>假日</x:v>
      </x:c>
      <x:c r="C185" s="152" t="str">
        <x:v>65~100歲</x:v>
      </x:c>
      <x:c r="D185" s="40" t="n">
        <x:v>11341</x:v>
      </x:c>
      <x:c r="E185" s="40" t="n">
        <x:v>3935</x:v>
      </x:c>
      <x:c r="F185" s="153" t="n">
        <x:v>0</x:v>
      </x:c>
      <x:c r="G185" s="154" t="n">
        <x:f>SUM(D185:F185)</x:f>
        <x:v>15276</x:v>
      </x:c>
      <x:c r="H185" s="155" t="n">
        <x:f>IF(SUMIFS($D$7:$D$286,$A$7:$A$286,A185,$B$7:$B$286,B185)=0,"",D185/SUMIFS($D$7:$D$286,$A$7:$A$286,A185,$B$7:$B$286,B185))</x:f>
        <x:v>0.17742213044226468</x:v>
      </x:c>
      <x:c r="I185" s="155" t="n">
        <x:f>IF(SUMIFS($E$7:$E$286,$A$7:$A$286,A185,$B$7:$B$286,B185)=0,"",E185/SUMIFS($E$7:$E$286,$A$7:$A$286,A185,$B$7:$B$286,B185))</x:f>
        <x:v>0.08431359945147951</x:v>
      </x:c>
      <x:c r="J185" s="155" t="n">
        <x:f>IF(SUMIFS($F$7:$F$286,$A$7:$A$286,A185,$B$7:$B$286,B185)=0,"",F185/SUMIFS($F$7:$F$286,$A$7:$A$286,A185,$B$7:$B$286,B185))</x:f>
        <x:v>0</x:v>
      </x:c>
      <x:c r="K185" s="155" t="n">
        <x:f>IF(SUMIFS($G$7:$G$286,$A$7:$A$286,A185,$B$7:$B$286,B185)=0,"",G185/SUMIFS($G$7:$G$286,$A$7:$A$286,A185,$B$7:$B$286,B185))</x:f>
        <x:v>0.06599188709322067</x:v>
      </x:c>
      <x:c r="L185" s="1"/>
      <x:c r="M185" s="1"/>
      <x:c r="N185" s="1"/>
      <x:c r="O185" s="1"/>
      <x:c r="P185" s="1"/>
      <x:c r="Q185" s="1"/>
    </x:row>
    <x:row r="186">
      <x:c r="A186" s="151" t="n">
        <x:v>46082</x:v>
      </x:c>
      <x:c r="B186" s="152" t="str">
        <x:v>假日</x:v>
      </x:c>
      <x:c r="C186" s="152" t="str">
        <x:v>未投保或資料有誤</x:v>
      </x:c>
      <x:c r="D186" s="40" t="n">
        <x:v>0</x:v>
      </x:c>
      <x:c r="E186" s="40" t="n">
        <x:v>0</x:v>
      </x:c>
      <x:c r="F186" s="153" t="n">
        <x:v>120891</x:v>
      </x:c>
      <x:c r="G186" s="154" t="n">
        <x:f>SUM(D186:F186)</x:f>
        <x:v>120891</x:v>
      </x:c>
      <x:c r="H186" s="155" t="n">
        <x:f>IF(SUMIFS($D$7:$D$286,$A$7:$A$286,A186,$B$7:$B$286,B186)=0,"",D186/SUMIFS($D$7:$D$286,$A$7:$A$286,A186,$B$7:$B$286,B186))</x:f>
        <x:v>0</x:v>
      </x:c>
      <x:c r="I186" s="155" t="n">
        <x:f>IF(SUMIFS($E$7:$E$286,$A$7:$A$286,A186,$B$7:$B$286,B186)=0,"",E186/SUMIFS($E$7:$E$286,$A$7:$A$286,A186,$B$7:$B$286,B186))</x:f>
        <x:v>0</x:v>
      </x:c>
      <x:c r="J186" s="155" t="n">
        <x:f>IF(SUMIFS($F$7:$F$286,$A$7:$A$286,A186,$B$7:$B$286,B186)=0,"",F186/SUMIFS($F$7:$F$286,$A$7:$A$286,A186,$B$7:$B$286,B186))</x:f>
        <x:v>1</x:v>
      </x:c>
      <x:c r="K186" s="155" t="n">
        <x:f>IF(SUMIFS($G$7:$G$286,$A$7:$A$286,A186,$B$7:$B$286,B186)=0,"",G186/SUMIFS($G$7:$G$286,$A$7:$A$286,A186,$B$7:$B$286,B186))</x:f>
        <x:v>0.522245694068247</x:v>
      </x:c>
      <x:c r="L186" s="1"/>
      <x:c r="M186" s="1"/>
      <x:c r="N186" s="1"/>
      <x:c r="O186" s="1"/>
      <x:c r="P186" s="1"/>
      <x:c r="Q186" s="1"/>
    </x:row>
    <x:row r="187">
      <x:c r="A187" s="151" t="n">
        <x:v>46113</x:v>
      </x:c>
      <x:c r="B187" s="152" t="str">
        <x:v>平日</x:v>
      </x:c>
      <x:c r="C187" s="152" t="str">
        <x:v>08~11歲</x:v>
      </x:c>
      <x:c r="D187" s="40" t="n">
        <x:v>335</x:v>
      </x:c>
      <x:c r="E187" s="40" t="n">
        <x:v>122</x:v>
      </x:c>
      <x:c r="F187" s="153" t="n">
        <x:v>0</x:v>
      </x:c>
      <x:c r="G187" s="154" t="n">
        <x:f>SUM(D187:F187)</x:f>
        <x:v>457</x:v>
      </x:c>
      <x:c r="H187" s="155" t="n">
        <x:f>IF(SUMIFS($D$7:$D$286,$A$7:$A$286,A187,$B$7:$B$286,B187)=0,"",D187/SUMIFS($D$7:$D$286,$A$7:$A$286,A187,$B$7:$B$286,B187))</x:f>
        <x:v>0.0023325929381619167</x:v>
      </x:c>
      <x:c r="I187" s="155" t="n">
        <x:f>IF(SUMIFS($E$7:$E$286,$A$7:$A$286,A187,$B$7:$B$286,B187)=0,"",E187/SUMIFS($E$7:$E$286,$A$7:$A$286,A187,$B$7:$B$286,B187))</x:f>
        <x:v>0.0011133113712893422</x:v>
      </x:c>
      <x:c r="J187" s="155" t="n">
        <x:f>IF(SUMIFS($F$7:$F$286,$A$7:$A$286,A187,$B$7:$B$286,B187)=0,"",F187/SUMIFS($F$7:$F$286,$A$7:$A$286,A187,$B$7:$B$286,B187))</x:f>
        <x:v>0</x:v>
      </x:c>
      <x:c r="K187" s="155" t="n">
        <x:f>IF(SUMIFS($G$7:$G$286,$A$7:$A$286,A187,$B$7:$B$286,B187)=0,"",G187/SUMIFS($G$7:$G$286,$A$7:$A$286,A187,$B$7:$B$286,B187))</x:f>
        <x:v>0.0008476132361205651</x:v>
      </x:c>
      <x:c r="L187" s="1"/>
      <x:c r="M187" s="1"/>
      <x:c r="N187" s="1"/>
      <x:c r="O187" s="1"/>
      <x:c r="P187" s="1"/>
      <x:c r="Q187" s="1"/>
    </x:row>
    <x:row r="188">
      <x:c r="A188" s="151" t="n">
        <x:v>46113</x:v>
      </x:c>
      <x:c r="B188" s="152" t="str">
        <x:v>平日</x:v>
      </x:c>
      <x:c r="C188" s="152" t="str">
        <x:v>12~14歲</x:v>
      </x:c>
      <x:c r="D188" s="40" t="n">
        <x:v>3749</x:v>
      </x:c>
      <x:c r="E188" s="40" t="n">
        <x:v>1054</x:v>
      </x:c>
      <x:c r="F188" s="153" t="n">
        <x:v>0</x:v>
      </x:c>
      <x:c r="G188" s="154" t="n">
        <x:f>SUM(D188:F188)</x:f>
        <x:v>4803</x:v>
      </x:c>
      <x:c r="H188" s="155" t="n">
        <x:f>IF(SUMIFS($D$7:$D$286,$A$7:$A$286,A188,$B$7:$B$286,B188)=0,"",D188/SUMIFS($D$7:$D$286,$A$7:$A$286,A188,$B$7:$B$286,B188))</x:f>
        <x:v>0.026104152015429927</x:v>
      </x:c>
      <x:c r="I188" s="155" t="n">
        <x:f>IF(SUMIFS($E$7:$E$286,$A$7:$A$286,A188,$B$7:$B$286,B188)=0,"",E188/SUMIFS($E$7:$E$286,$A$7:$A$286,A188,$B$7:$B$286,B188))</x:f>
        <x:v>0.009618280207696448</x:v>
      </x:c>
      <x:c r="J188" s="155" t="n">
        <x:f>IF(SUMIFS($F$7:$F$286,$A$7:$A$286,A188,$B$7:$B$286,B188)=0,"",F188/SUMIFS($F$7:$F$286,$A$7:$A$286,A188,$B$7:$B$286,B188))</x:f>
        <x:v>0</x:v>
      </x:c>
      <x:c r="K188" s="155" t="n">
        <x:f>IF(SUMIFS($G$7:$G$286,$A$7:$A$286,A188,$B$7:$B$286,B188)=0,"",G188/SUMIFS($G$7:$G$286,$A$7:$A$286,A188,$B$7:$B$286,B188))</x:f>
        <x:v>0.008908285280278061</x:v>
      </x:c>
      <x:c r="L188" s="1"/>
      <x:c r="M188" s="1"/>
      <x:c r="N188" s="1"/>
      <x:c r="O188" s="1"/>
      <x:c r="P188" s="1"/>
      <x:c r="Q188" s="1"/>
    </x:row>
    <x:row r="189">
      <x:c r="A189" s="151" t="n">
        <x:v>46113</x:v>
      </x:c>
      <x:c r="B189" s="152" t="str">
        <x:v>平日</x:v>
      </x:c>
      <x:c r="C189" s="152" t="str">
        <x:v>15~17歲</x:v>
      </x:c>
      <x:c r="D189" s="40" t="n">
        <x:v>8040</x:v>
      </x:c>
      <x:c r="E189" s="40" t="n">
        <x:v>2666</x:v>
      </x:c>
      <x:c r="F189" s="153" t="n">
        <x:v>0</x:v>
      </x:c>
      <x:c r="G189" s="154" t="n">
        <x:f>SUM(D189:F189)</x:f>
        <x:v>10706</x:v>
      </x:c>
      <x:c r="H189" s="155" t="n">
        <x:f>IF(SUMIFS($D$7:$D$286,$A$7:$A$286,A189,$B$7:$B$286,B189)=0,"",D189/SUMIFS($D$7:$D$286,$A$7:$A$286,A189,$B$7:$B$286,B189))</x:f>
        <x:v>0.055982230515886</x:v>
      </x:c>
      <x:c r="I189" s="155" t="n">
        <x:f>IF(SUMIFS($E$7:$E$286,$A$7:$A$286,A189,$B$7:$B$286,B189)=0,"",E189/SUMIFS($E$7:$E$286,$A$7:$A$286,A189,$B$7:$B$286,B189))</x:f>
        <x:v>0.024328591113585138</x:v>
      </x:c>
      <x:c r="J189" s="155" t="n">
        <x:f>IF(SUMIFS($F$7:$F$286,$A$7:$A$286,A189,$B$7:$B$286,B189)=0,"",F189/SUMIFS($F$7:$F$286,$A$7:$A$286,A189,$B$7:$B$286,B189))</x:f>
        <x:v>0</x:v>
      </x:c>
      <x:c r="K189" s="155" t="n">
        <x:f>IF(SUMIFS($G$7:$G$286,$A$7:$A$286,A189,$B$7:$B$286,B189)=0,"",G189/SUMIFS($G$7:$G$286,$A$7:$A$286,A189,$B$7:$B$286,B189))</x:f>
        <x:v>0.01985677747463188</x:v>
      </x:c>
      <x:c r="L189" s="1"/>
      <x:c r="M189" s="1"/>
      <x:c r="N189" s="1"/>
      <x:c r="O189" s="1"/>
      <x:c r="P189" s="1"/>
      <x:c r="Q189" s="1"/>
    </x:row>
    <x:row r="190">
      <x:c r="A190" s="151" t="n">
        <x:v>46113</x:v>
      </x:c>
      <x:c r="B190" s="152" t="str">
        <x:v>平日</x:v>
      </x:c>
      <x:c r="C190" s="152" t="str">
        <x:v>18~24歲</x:v>
      </x:c>
      <x:c r="D190" s="40" t="n">
        <x:v>14711</x:v>
      </x:c>
      <x:c r="E190" s="40" t="n">
        <x:v>11598</x:v>
      </x:c>
      <x:c r="F190" s="153" t="n">
        <x:v>0</x:v>
      </x:c>
      <x:c r="G190" s="154" t="n">
        <x:f>SUM(D190:F190)</x:f>
        <x:v>26309</x:v>
      </x:c>
      <x:c r="H190" s="155" t="n">
        <x:f>IF(SUMIFS($D$7:$D$286,$A$7:$A$286,A190,$B$7:$B$286,B190)=0,"",D190/SUMIFS($D$7:$D$286,$A$7:$A$286,A190,$B$7:$B$286,B190))</x:f>
        <x:v>0.10243216332328346</x:v>
      </x:c>
      <x:c r="I190" s="155" t="n">
        <x:f>IF(SUMIFS($E$7:$E$286,$A$7:$A$286,A190,$B$7:$B$286,B190)=0,"",E190/SUMIFS($E$7:$E$286,$A$7:$A$286,A190,$B$7:$B$286,B190))</x:f>
        <x:v>0.10583758429683436</x:v>
      </x:c>
      <x:c r="J190" s="155" t="n">
        <x:f>IF(SUMIFS($F$7:$F$286,$A$7:$A$286,A190,$B$7:$B$286,B190)=0,"",F190/SUMIFS($F$7:$F$286,$A$7:$A$286,A190,$B$7:$B$286,B190))</x:f>
        <x:v>0</x:v>
      </x:c>
      <x:c r="K190" s="155" t="n">
        <x:f>IF(SUMIFS($G$7:$G$286,$A$7:$A$286,A190,$B$7:$B$286,B190)=0,"",G190/SUMIFS($G$7:$G$286,$A$7:$A$286,A190,$B$7:$B$286,B190))</x:f>
        <x:v>0.04879618518401739</x:v>
      </x:c>
      <x:c r="L190" s="1"/>
      <x:c r="M190" s="1"/>
      <x:c r="N190" s="1"/>
      <x:c r="O190" s="1"/>
      <x:c r="P190" s="1"/>
      <x:c r="Q190" s="1"/>
    </x:row>
    <x:row r="191">
      <x:c r="A191" s="151" t="n">
        <x:v>46113</x:v>
      </x:c>
      <x:c r="B191" s="152" t="str">
        <x:v>平日</x:v>
      </x:c>
      <x:c r="C191" s="152" t="str">
        <x:v>25~34歲</x:v>
      </x:c>
      <x:c r="D191" s="40" t="n">
        <x:v>29721</x:v>
      </x:c>
      <x:c r="E191" s="40" t="n">
        <x:v>27001</x:v>
      </x:c>
      <x:c r="F191" s="153" t="n">
        <x:v>0</x:v>
      </x:c>
      <x:c r="G191" s="154" t="n">
        <x:f>SUM(D191:F191)</x:f>
        <x:v>56722</x:v>
      </x:c>
      <x:c r="H191" s="155" t="n">
        <x:f>IF(SUMIFS($D$7:$D$286,$A$7:$A$286,A191,$B$7:$B$286,B191)=0,"",D191/SUMIFS($D$7:$D$286,$A$7:$A$286,A191,$B$7:$B$286,B191))</x:f>
        <x:v>0.20694625288092636</x:v>
      </x:c>
      <x:c r="I191" s="155" t="n">
        <x:f>IF(SUMIFS($E$7:$E$286,$A$7:$A$286,A191,$B$7:$B$286,B191)=0,"",E191/SUMIFS($E$7:$E$286,$A$7:$A$286,A191,$B$7:$B$286,B191))</x:f>
        <x:v>0.2463977076736355</x:v>
      </x:c>
      <x:c r="J191" s="155" t="n">
        <x:f>IF(SUMIFS($F$7:$F$286,$A$7:$A$286,A191,$B$7:$B$286,B191)=0,"",F191/SUMIFS($F$7:$F$286,$A$7:$A$286,A191,$B$7:$B$286,B191))</x:f>
        <x:v>0</x:v>
      </x:c>
      <x:c r="K191" s="155" t="n">
        <x:f>IF(SUMIFS($G$7:$G$286,$A$7:$A$286,A191,$B$7:$B$286,B191)=0,"",G191/SUMIFS($G$7:$G$286,$A$7:$A$286,A191,$B$7:$B$286,B191))</x:f>
        <x:v>0.10520419689109561</x:v>
      </x:c>
      <x:c r="L191" s="1"/>
      <x:c r="M191" s="1"/>
      <x:c r="N191" s="1"/>
      <x:c r="O191" s="1"/>
      <x:c r="P191" s="1"/>
      <x:c r="Q191" s="1"/>
    </x:row>
    <x:row r="192">
      <x:c r="A192" s="151" t="n">
        <x:v>46113</x:v>
      </x:c>
      <x:c r="B192" s="152" t="str">
        <x:v>平日</x:v>
      </x:c>
      <x:c r="C192" s="152" t="str">
        <x:v>35~44歲</x:v>
      </x:c>
      <x:c r="D192" s="40" t="n">
        <x:v>26490</x:v>
      </x:c>
      <x:c r="E192" s="40" t="n">
        <x:v>26038</x:v>
      </x:c>
      <x:c r="F192" s="153" t="n">
        <x:v>0</x:v>
      </x:c>
      <x:c r="G192" s="154" t="n">
        <x:f>SUM(D192:F192)</x:f>
        <x:v>52528</x:v>
      </x:c>
      <x:c r="H192" s="155" t="n">
        <x:f>IF(SUMIFS($D$7:$D$286,$A$7:$A$286,A192,$B$7:$B$286,B192)=0,"",D192/SUMIFS($D$7:$D$286,$A$7:$A$286,A192,$B$7:$B$286,B192))</x:f>
        <x:v>0.18444891621465426</x:v>
      </x:c>
      <x:c r="I192" s="155" t="n">
        <x:f>IF(SUMIFS($E$7:$E$286,$A$7:$A$286,A192,$B$7:$B$286,B192)=0,"",E192/SUMIFS($E$7:$E$286,$A$7:$A$286,A192,$B$7:$B$286,B192))</x:f>
        <x:v>0.2376098482428844</x:v>
      </x:c>
      <x:c r="J192" s="155" t="n">
        <x:f>IF(SUMIFS($F$7:$F$286,$A$7:$A$286,A192,$B$7:$B$286,B192)=0,"",F192/SUMIFS($F$7:$F$286,$A$7:$A$286,A192,$B$7:$B$286,B192))</x:f>
        <x:v>0</x:v>
      </x:c>
      <x:c r="K192" s="155" t="n">
        <x:f>IF(SUMIFS($G$7:$G$286,$A$7:$A$286,A192,$B$7:$B$286,B192)=0,"",G192/SUMIFS($G$7:$G$286,$A$7:$A$286,A192,$B$7:$B$286,B192))</x:f>
        <x:v>0.09742544434779221</x:v>
      </x:c>
      <x:c r="L192" s="1"/>
      <x:c r="M192" s="1"/>
      <x:c r="N192" s="1"/>
      <x:c r="O192" s="1"/>
      <x:c r="P192" s="1"/>
      <x:c r="Q192" s="1"/>
    </x:row>
    <x:row r="193">
      <x:c r="A193" s="151" t="n">
        <x:v>46113</x:v>
      </x:c>
      <x:c r="B193" s="152" t="str">
        <x:v>平日</x:v>
      </x:c>
      <x:c r="C193" s="152" t="str">
        <x:v>45~54歲</x:v>
      </x:c>
      <x:c r="D193" s="40" t="n">
        <x:v>21971</x:v>
      </x:c>
      <x:c r="E193" s="40" t="n">
        <x:v>21667</x:v>
      </x:c>
      <x:c r="F193" s="153" t="n">
        <x:v>0</x:v>
      </x:c>
      <x:c r="G193" s="154" t="n">
        <x:f>SUM(D193:F193)</x:f>
        <x:v>43638</x:v>
      </x:c>
      <x:c r="H193" s="155" t="n">
        <x:f>IF(SUMIFS($D$7:$D$286,$A$7:$A$286,A193,$B$7:$B$286,B193)=0,"",D193/SUMIFS($D$7:$D$286,$A$7:$A$286,A193,$B$7:$B$286,B193))</x:f>
        <x:v>0.15298328192344918</x:v>
      </x:c>
      <x:c r="I193" s="155" t="n">
        <x:f>IF(SUMIFS($E$7:$E$286,$A$7:$A$286,A193,$B$7:$B$286,B193)=0,"",E193/SUMIFS($E$7:$E$286,$A$7:$A$286,A193,$B$7:$B$286,B193))</x:f>
        <x:v>0.19772227444037851</x:v>
      </x:c>
      <x:c r="J193" s="155" t="n">
        <x:f>IF(SUMIFS($F$7:$F$286,$A$7:$A$286,A193,$B$7:$B$286,B193)=0,"",F193/SUMIFS($F$7:$F$286,$A$7:$A$286,A193,$B$7:$B$286,B193))</x:f>
        <x:v>0</x:v>
      </x:c>
      <x:c r="K193" s="155" t="n">
        <x:f>IF(SUMIFS($G$7:$G$286,$A$7:$A$286,A193,$B$7:$B$286,B193)=0,"",G193/SUMIFS($G$7:$G$286,$A$7:$A$286,A193,$B$7:$B$286,B193))</x:f>
        <x:v>0.08093686301494359</x:v>
      </x:c>
      <x:c r="L193" s="1"/>
      <x:c r="M193" s="1"/>
      <x:c r="N193" s="1"/>
      <x:c r="O193" s="1"/>
      <x:c r="P193" s="1"/>
      <x:c r="Q193" s="1"/>
    </x:row>
    <x:row r="194">
      <x:c r="A194" s="151" t="n">
        <x:v>46113</x:v>
      </x:c>
      <x:c r="B194" s="152" t="str">
        <x:v>平日</x:v>
      </x:c>
      <x:c r="C194" s="152" t="str">
        <x:v>55~64歲</x:v>
      </x:c>
      <x:c r="D194" s="40" t="n">
        <x:v>13739</x:v>
      </x:c>
      <x:c r="E194" s="40" t="n">
        <x:v>11010</x:v>
      </x:c>
      <x:c r="F194" s="153" t="n">
        <x:v>0</x:v>
      </x:c>
      <x:c r="G194" s="154" t="n">
        <x:f>SUM(D194:F194)</x:f>
        <x:v>24749</x:v>
      </x:c>
      <x:c r="H194" s="155" t="n">
        <x:f>IF(SUMIFS($D$7:$D$286,$A$7:$A$286,A194,$B$7:$B$286,B194)=0,"",D194/SUMIFS($D$7:$D$286,$A$7:$A$286,A194,$B$7:$B$286,B194))</x:f>
        <x:v>0.09566416232061664</x:v>
      </x:c>
      <x:c r="I194" s="155" t="n">
        <x:f>IF(SUMIFS($E$7:$E$286,$A$7:$A$286,A194,$B$7:$B$286,B194)=0,"",E194/SUMIFS($E$7:$E$286,$A$7:$A$286,A194,$B$7:$B$286,B194))</x:f>
        <x:v>0.10047178850734147</x:v>
      </x:c>
      <x:c r="J194" s="155" t="n">
        <x:f>IF(SUMIFS($F$7:$F$286,$A$7:$A$286,A194,$B$7:$B$286,B194)=0,"",F194/SUMIFS($F$7:$F$286,$A$7:$A$286,A194,$B$7:$B$286,B194))</x:f>
        <x:v>0</x:v>
      </x:c>
      <x:c r="K194" s="155" t="n">
        <x:f>IF(SUMIFS($G$7:$G$286,$A$7:$A$286,A194,$B$7:$B$286,B194)=0,"",G194/SUMIFS($G$7:$G$286,$A$7:$A$286,A194,$B$7:$B$286,B194))</x:f>
        <x:v>0.045902800833146316</x:v>
      </x:c>
      <x:c r="L194" s="1"/>
      <x:c r="M194" s="1"/>
      <x:c r="N194" s="1"/>
      <x:c r="O194" s="1"/>
      <x:c r="P194" s="1"/>
      <x:c r="Q194" s="1"/>
    </x:row>
    <x:row r="195">
      <x:c r="A195" s="151" t="n">
        <x:v>46113</x:v>
      </x:c>
      <x:c r="B195" s="152" t="str">
        <x:v>平日</x:v>
      </x:c>
      <x:c r="C195" s="152" t="str">
        <x:v>65~100歲</x:v>
      </x:c>
      <x:c r="D195" s="40" t="n">
        <x:v>24861</x:v>
      </x:c>
      <x:c r="E195" s="40" t="n">
        <x:v>8427</x:v>
      </x:c>
      <x:c r="F195" s="153" t="n">
        <x:v>0</x:v>
      </x:c>
      <x:c r="G195" s="154" t="n">
        <x:f>SUM(D195:F195)</x:f>
        <x:v>33288</x:v>
      </x:c>
      <x:c r="H195" s="155" t="n">
        <x:f>IF(SUMIFS($D$7:$D$286,$A$7:$A$286,A195,$B$7:$B$286,B195)=0,"",D195/SUMIFS($D$7:$D$286,$A$7:$A$286,A195,$B$7:$B$286,B195))</x:f>
        <x:v>0.17310624786759227</x:v>
      </x:c>
      <x:c r="I195" s="155" t="n">
        <x:f>IF(SUMIFS($E$7:$E$286,$A$7:$A$286,A195,$B$7:$B$286,B195)=0,"",E195/SUMIFS($E$7:$E$286,$A$7:$A$286,A195,$B$7:$B$286,B195))</x:f>
        <x:v>0.07690061414635482</x:v>
      </x:c>
      <x:c r="J195" s="155" t="n">
        <x:f>IF(SUMIFS($F$7:$F$286,$A$7:$A$286,A195,$B$7:$B$286,B195)=0,"",F195/SUMIFS($F$7:$F$286,$A$7:$A$286,A195,$B$7:$B$286,B195))</x:f>
        <x:v>0</x:v>
      </x:c>
      <x:c r="K195" s="155" t="n">
        <x:f>IF(SUMIFS($G$7:$G$286,$A$7:$A$286,A195,$B$7:$B$286,B195)=0,"",G195/SUMIFS($G$7:$G$286,$A$7:$A$286,A195,$B$7:$B$286,B195))</x:f>
        <x:v>0.061740370687048955</x:v>
      </x:c>
      <x:c r="L195" s="1"/>
      <x:c r="M195" s="1"/>
      <x:c r="N195" s="1"/>
      <x:c r="O195" s="1"/>
      <x:c r="P195" s="1"/>
      <x:c r="Q195" s="1"/>
    </x:row>
    <x:row r="196">
      <x:c r="A196" s="151" t="n">
        <x:v>46113</x:v>
      </x:c>
      <x:c r="B196" s="152" t="str">
        <x:v>平日</x:v>
      </x:c>
      <x:c r="C196" s="152" t="str">
        <x:v>未投保或資料有誤</x:v>
      </x:c>
      <x:c r="D196" s="40" t="n">
        <x:v>0</x:v>
      </x:c>
      <x:c r="E196" s="40" t="n">
        <x:v>0</x:v>
      </x:c>
      <x:c r="F196" s="153" t="n">
        <x:v>285961</x:v>
      </x:c>
      <x:c r="G196" s="154" t="n">
        <x:f>SUM(D196:F196)</x:f>
        <x:v>285961</x:v>
      </x:c>
      <x:c r="H196" s="155" t="n">
        <x:f>IF(SUMIFS($D$7:$D$286,$A$7:$A$286,A196,$B$7:$B$286,B196)=0,"",D196/SUMIFS($D$7:$D$286,$A$7:$A$286,A196,$B$7:$B$286,B196))</x:f>
        <x:v>0</x:v>
      </x:c>
      <x:c r="I196" s="155" t="n">
        <x:f>IF(SUMIFS($E$7:$E$286,$A$7:$A$286,A196,$B$7:$B$286,B196)=0,"",E196/SUMIFS($E$7:$E$286,$A$7:$A$286,A196,$B$7:$B$286,B196))</x:f>
        <x:v>0</x:v>
      </x:c>
      <x:c r="J196" s="155" t="n">
        <x:f>IF(SUMIFS($F$7:$F$286,$A$7:$A$286,A196,$B$7:$B$286,B196)=0,"",F196/SUMIFS($F$7:$F$286,$A$7:$A$286,A196,$B$7:$B$286,B196))</x:f>
        <x:v>1</x:v>
      </x:c>
      <x:c r="K196" s="155" t="n">
        <x:f>IF(SUMIFS($G$7:$G$286,$A$7:$A$286,A196,$B$7:$B$286,B196)=0,"",G196/SUMIFS($G$7:$G$286,$A$7:$A$286,A196,$B$7:$B$286,B196))</x:f>
        <x:v>0.5303814630509254</x:v>
      </x:c>
      <x:c r="L196" s="1"/>
      <x:c r="M196" s="1"/>
      <x:c r="N196" s="1"/>
      <x:c r="O196" s="1"/>
      <x:c r="P196" s="1"/>
      <x:c r="Q196" s="1"/>
    </x:row>
    <x:row r="197">
      <x:c r="A197" s="151" t="n">
        <x:v>46113</x:v>
      </x:c>
      <x:c r="B197" s="152" t="str">
        <x:v>假日</x:v>
      </x:c>
      <x:c r="C197" s="152" t="str">
        <x:v>08~11歲</x:v>
      </x:c>
      <x:c r="D197" s="40" t="n">
        <x:v>193</x:v>
      </x:c>
      <x:c r="E197" s="40" t="n">
        <x:v>64</x:v>
      </x:c>
      <x:c r="F197" s="153" t="n">
        <x:v>0</x:v>
      </x:c>
      <x:c r="G197" s="154" t="n">
        <x:f>SUM(D197:F197)</x:f>
        <x:v>257</x:v>
      </x:c>
      <x:c r="H197" s="155" t="n">
        <x:f>IF(SUMIFS($D$7:$D$286,$A$7:$A$286,A197,$B$7:$B$286,B197)=0,"",D197/SUMIFS($D$7:$D$286,$A$7:$A$286,A197,$B$7:$B$286,B197))</x:f>
        <x:v>0.003537001062932962</x:v>
      </x:c>
      <x:c r="I197" s="155" t="n">
        <x:f>IF(SUMIFS($E$7:$E$286,$A$7:$A$286,A197,$B$7:$B$286,B197)=0,"",E197/SUMIFS($E$7:$E$286,$A$7:$A$286,A197,$B$7:$B$286,B197))</x:f>
        <x:v>0.0015844721727074668</x:v>
      </x:c>
      <x:c r="J197" s="155" t="n">
        <x:f>IF(SUMIFS($F$7:$F$286,$A$7:$A$286,A197,$B$7:$B$286,B197)=0,"",F197/SUMIFS($F$7:$F$286,$A$7:$A$286,A197,$B$7:$B$286,B197))</x:f>
        <x:v>0</x:v>
      </x:c>
      <x:c r="K197" s="155" t="n">
        <x:f>IF(SUMIFS($G$7:$G$286,$A$7:$A$286,A197,$B$7:$B$286,B197)=0,"",G197/SUMIFS($G$7:$G$286,$A$7:$A$286,A197,$B$7:$B$286,B197))</x:f>
        <x:v>0.0012365994957368592</x:v>
      </x:c>
      <x:c r="L197" s="1"/>
      <x:c r="M197" s="1"/>
      <x:c r="N197" s="1"/>
      <x:c r="O197" s="1"/>
      <x:c r="P197" s="1"/>
      <x:c r="Q197" s="1"/>
    </x:row>
    <x:row r="198">
      <x:c r="A198" s="151" t="n">
        <x:v>46113</x:v>
      </x:c>
      <x:c r="B198" s="152" t="str">
        <x:v>假日</x:v>
      </x:c>
      <x:c r="C198" s="152" t="str">
        <x:v>12~14歲</x:v>
      </x:c>
      <x:c r="D198" s="40" t="n">
        <x:v>1291</x:v>
      </x:c>
      <x:c r="E198" s="40" t="n">
        <x:v>416</x:v>
      </x:c>
      <x:c r="F198" s="153" t="n">
        <x:v>0</x:v>
      </x:c>
      <x:c r="G198" s="154" t="n">
        <x:f>SUM(D198:F198)</x:f>
        <x:v>1707</x:v>
      </x:c>
      <x:c r="H198" s="155" t="n">
        <x:f>IF(SUMIFS($D$7:$D$286,$A$7:$A$286,A198,$B$7:$B$286,B198)=0,"",D198/SUMIFS($D$7:$D$286,$A$7:$A$286,A198,$B$7:$B$286,B198))</x:f>
        <x:v>0.023659421617857272</x:v>
      </x:c>
      <x:c r="I198" s="155" t="n">
        <x:f>IF(SUMIFS($E$7:$E$286,$A$7:$A$286,A198,$B$7:$B$286,B198)=0,"",E198/SUMIFS($E$7:$E$286,$A$7:$A$286,A198,$B$7:$B$286,B198))</x:f>
        <x:v>0.010299069122598535</x:v>
      </x:c>
      <x:c r="J198" s="155" t="n">
        <x:f>IF(SUMIFS($F$7:$F$286,$A$7:$A$286,A198,$B$7:$B$286,B198)=0,"",F198/SUMIFS($F$7:$F$286,$A$7:$A$286,A198,$B$7:$B$286,B198))</x:f>
        <x:v>0</x:v>
      </x:c>
      <x:c r="K198" s="155" t="n">
        <x:f>IF(SUMIFS($G$7:$G$286,$A$7:$A$286,A198,$B$7:$B$286,B198)=0,"",G198/SUMIFS($G$7:$G$286,$A$7:$A$286,A198,$B$7:$B$286,B198))</x:f>
        <x:v>0.008213522720711358</x:v>
      </x:c>
      <x:c r="L198" s="1"/>
      <x:c r="M198" s="1"/>
      <x:c r="N198" s="1"/>
      <x:c r="O198" s="1"/>
      <x:c r="P198" s="1"/>
      <x:c r="Q198" s="1"/>
    </x:row>
    <x:row r="199">
      <x:c r="A199" s="151" t="n">
        <x:v>46113</x:v>
      </x:c>
      <x:c r="B199" s="152" t="str">
        <x:v>假日</x:v>
      </x:c>
      <x:c r="C199" s="152" t="str">
        <x:v>15~17歲</x:v>
      </x:c>
      <x:c r="D199" s="40" t="n">
        <x:v>2326</x:v>
      </x:c>
      <x:c r="E199" s="40" t="n">
        <x:v>919</x:v>
      </x:c>
      <x:c r="F199" s="153" t="n">
        <x:v>0</x:v>
      </x:c>
      <x:c r="G199" s="154" t="n">
        <x:f>SUM(D199:F199)</x:f>
        <x:v>3245</x:v>
      </x:c>
      <x:c r="H199" s="155" t="n">
        <x:f>IF(SUMIFS($D$7:$D$286,$A$7:$A$286,A199,$B$7:$B$286,B199)=0,"",D199/SUMIFS($D$7:$D$286,$A$7:$A$286,A199,$B$7:$B$286,B199))</x:f>
        <x:v>0.042627277058974455</x:v>
      </x:c>
      <x:c r="I199" s="155" t="n">
        <x:f>IF(SUMIFS($E$7:$E$286,$A$7:$A$286,A199,$B$7:$B$286,B199)=0,"",E199/SUMIFS($E$7:$E$286,$A$7:$A$286,A199,$B$7:$B$286,B199))</x:f>
        <x:v>0.02275203010497128</x:v>
      </x:c>
      <x:c r="J199" s="155" t="n">
        <x:f>IF(SUMIFS($F$7:$F$286,$A$7:$A$286,A199,$B$7:$B$286,B199)=0,"",F199/SUMIFS($F$7:$F$286,$A$7:$A$286,A199,$B$7:$B$286,B199))</x:f>
        <x:v>0</x:v>
      </x:c>
      <x:c r="K199" s="155" t="n">
        <x:f>IF(SUMIFS($G$7:$G$286,$A$7:$A$286,A199,$B$7:$B$286,B199)=0,"",G199/SUMIFS($G$7:$G$286,$A$7:$A$286,A199,$B$7:$B$286,B199))</x:f>
        <x:v>0.015613873010373962</x:v>
      </x:c>
      <x:c r="L199" s="1"/>
      <x:c r="M199" s="1"/>
      <x:c r="N199" s="1"/>
      <x:c r="O199" s="1"/>
      <x:c r="P199" s="1"/>
      <x:c r="Q199" s="1"/>
    </x:row>
    <x:row r="200">
      <x:c r="A200" s="151" t="n">
        <x:v>46113</x:v>
      </x:c>
      <x:c r="B200" s="152" t="str">
        <x:v>假日</x:v>
      </x:c>
      <x:c r="C200" s="152" t="str">
        <x:v>18~24歲</x:v>
      </x:c>
      <x:c r="D200" s="40" t="n">
        <x:v>4910</x:v>
      </x:c>
      <x:c r="E200" s="40" t="n">
        <x:v>3937</x:v>
      </x:c>
      <x:c r="F200" s="153" t="n">
        <x:v>0</x:v>
      </x:c>
      <x:c r="G200" s="154" t="n">
        <x:f>SUM(D200:F200)</x:f>
        <x:v>8847</x:v>
      </x:c>
      <x:c r="H200" s="155" t="n">
        <x:f>IF(SUMIFS($D$7:$D$286,$A$7:$A$286,A200,$B$7:$B$286,B200)=0,"",D200/SUMIFS($D$7:$D$286,$A$7:$A$286,A200,$B$7:$B$286,B200))</x:f>
        <x:v>0.08998277315544478</x:v>
      </x:c>
      <x:c r="I200" s="155" t="n">
        <x:f>IF(SUMIFS($E$7:$E$286,$A$7:$A$286,A200,$B$7:$B$286,B200)=0,"",E200/SUMIFS($E$7:$E$286,$A$7:$A$286,A200,$B$7:$B$286,B200))</x:f>
        <x:v>0.09746979599920777</x:v>
      </x:c>
      <x:c r="J200" s="155" t="n">
        <x:f>IF(SUMIFS($F$7:$F$286,$A$7:$A$286,A200,$B$7:$B$286,B200)=0,"",F200/SUMIFS($F$7:$F$286,$A$7:$A$286,A200,$B$7:$B$286,B200))</x:f>
        <x:v>0</x:v>
      </x:c>
      <x:c r="K200" s="155" t="n">
        <x:f>IF(SUMIFS($G$7:$G$286,$A$7:$A$286,A200,$B$7:$B$286,B200)=0,"",G200/SUMIFS($G$7:$G$286,$A$7:$A$286,A200,$B$7:$B$286,B200))</x:f>
        <x:v>0.04256885501472371</x:v>
      </x:c>
      <x:c r="L200" s="1"/>
      <x:c r="M200" s="1"/>
      <x:c r="N200" s="1"/>
      <x:c r="O200" s="1"/>
      <x:c r="P200" s="1"/>
      <x:c r="Q200" s="1"/>
    </x:row>
    <x:row r="201">
      <x:c r="A201" s="151" t="n">
        <x:v>46113</x:v>
      </x:c>
      <x:c r="B201" s="152" t="str">
        <x:v>假日</x:v>
      </x:c>
      <x:c r="C201" s="152" t="str">
        <x:v>25~34歲</x:v>
      </x:c>
      <x:c r="D201" s="40" t="n">
        <x:v>11240</x:v>
      </x:c>
      <x:c r="E201" s="40" t="n">
        <x:v>9672</x:v>
      </x:c>
      <x:c r="F201" s="153" t="n">
        <x:v>0</x:v>
      </x:c>
      <x:c r="G201" s="154" t="n">
        <x:f>SUM(D201:F201)</x:f>
        <x:v>20912</x:v>
      </x:c>
      <x:c r="H201" s="155" t="n">
        <x:f>IF(SUMIFS($D$7:$D$286,$A$7:$A$286,A201,$B$7:$B$286,B201)=0,"",D201/SUMIFS($D$7:$D$286,$A$7:$A$286,A201,$B$7:$B$286,B201))</x:f>
        <x:v>0.20598907744749478</x:v>
      </x:c>
      <x:c r="I201" s="155" t="n">
        <x:f>IF(SUMIFS($E$7:$E$286,$A$7:$A$286,A201,$B$7:$B$286,B201)=0,"",E201/SUMIFS($E$7:$E$286,$A$7:$A$286,A201,$B$7:$B$286,B201))</x:f>
        <x:v>0.23945335710041593</x:v>
      </x:c>
      <x:c r="J201" s="155" t="n">
        <x:f>IF(SUMIFS($F$7:$F$286,$A$7:$A$286,A201,$B$7:$B$286,B201)=0,"",F201/SUMIFS($F$7:$F$286,$A$7:$A$286,A201,$B$7:$B$286,B201))</x:f>
        <x:v>0</x:v>
      </x:c>
      <x:c r="K201" s="155" t="n">
        <x:f>IF(SUMIFS($G$7:$G$286,$A$7:$A$286,A201,$B$7:$B$286,B201)=0,"",G201/SUMIFS($G$7:$G$286,$A$7:$A$286,A201,$B$7:$B$286,B201))</x:f>
        <x:v>0.10062166791770118</x:v>
      </x:c>
      <x:c r="L201" s="1"/>
      <x:c r="M201" s="1"/>
      <x:c r="N201" s="1"/>
      <x:c r="O201" s="1"/>
      <x:c r="P201" s="1"/>
      <x:c r="Q201" s="1"/>
    </x:row>
    <x:row r="202">
      <x:c r="A202" s="151" t="n">
        <x:v>46113</x:v>
      </x:c>
      <x:c r="B202" s="152" t="str">
        <x:v>假日</x:v>
      </x:c>
      <x:c r="C202" s="152" t="str">
        <x:v>35~44歲</x:v>
      </x:c>
      <x:c r="D202" s="40" t="n">
        <x:v>10239</x:v>
      </x:c>
      <x:c r="E202" s="40" t="n">
        <x:v>9049</x:v>
      </x:c>
      <x:c r="F202" s="153" t="n">
        <x:v>0</x:v>
      </x:c>
      <x:c r="G202" s="154" t="n">
        <x:f>SUM(D202:F202)</x:f>
        <x:v>19288</x:v>
      </x:c>
      <x:c r="H202" s="155" t="n">
        <x:f>IF(SUMIFS($D$7:$D$286,$A$7:$A$286,A202,$B$7:$B$286,B202)=0,"",D202/SUMIFS($D$7:$D$286,$A$7:$A$286,A202,$B$7:$B$286,B202))</x:f>
        <x:v>0.1876443206392259</x:v>
      </x:c>
      <x:c r="I202" s="155" t="n">
        <x:f>IF(SUMIFS($E$7:$E$286,$A$7:$A$286,A202,$B$7:$B$286,B202)=0,"",E202/SUMIFS($E$7:$E$286,$A$7:$A$286,A202,$B$7:$B$286,B202))</x:f>
        <x:v>0.22402951079421668</x:v>
      </x:c>
      <x:c r="J202" s="155" t="n">
        <x:f>IF(SUMIFS($F$7:$F$286,$A$7:$A$286,A202,$B$7:$B$286,B202)=0,"",F202/SUMIFS($F$7:$F$286,$A$7:$A$286,A202,$B$7:$B$286,B202))</x:f>
        <x:v>0</x:v>
      </x:c>
      <x:c r="K202" s="155" t="n">
        <x:f>IF(SUMIFS($G$7:$G$286,$A$7:$A$286,A202,$B$7:$B$286,B202)=0,"",G202/SUMIFS($G$7:$G$286,$A$7:$A$286,A202,$B$7:$B$286,B202))</x:f>
        <x:v>0.09280751390572974</x:v>
      </x:c>
      <x:c r="L202" s="1"/>
      <x:c r="M202" s="1"/>
      <x:c r="N202" s="1"/>
      <x:c r="O202" s="1"/>
      <x:c r="P202" s="1"/>
      <x:c r="Q202" s="1"/>
    </x:row>
    <x:row r="203">
      <x:c r="A203" s="151" t="n">
        <x:v>46113</x:v>
      </x:c>
      <x:c r="B203" s="152" t="str">
        <x:v>假日</x:v>
      </x:c>
      <x:c r="C203" s="152" t="str">
        <x:v>45~54歲</x:v>
      </x:c>
      <x:c r="D203" s="40" t="n">
        <x:v>9257</x:v>
      </x:c>
      <x:c r="E203" s="40" t="n">
        <x:v>8761</x:v>
      </x:c>
      <x:c r="F203" s="153" t="n">
        <x:v>0</x:v>
      </x:c>
      <x:c r="G203" s="154" t="n">
        <x:f>SUM(D203:F203)</x:f>
        <x:v>18018</x:v>
      </x:c>
      <x:c r="H203" s="155" t="n">
        <x:f>IF(SUMIFS($D$7:$D$286,$A$7:$A$286,A203,$B$7:$B$286,B203)=0,"",D203/SUMIFS($D$7:$D$286,$A$7:$A$286,A203,$B$7:$B$286,B203))</x:f>
        <x:v>0.16964776600813694</x:v>
      </x:c>
      <x:c r="I203" s="155" t="n">
        <x:f>IF(SUMIFS($E$7:$E$286,$A$7:$A$286,A203,$B$7:$B$286,B203)=0,"",E203/SUMIFS($E$7:$E$286,$A$7:$A$286,A203,$B$7:$B$286,B203))</x:f>
        <x:v>0.21689938601703307</x:v>
      </x:c>
      <x:c r="J203" s="155" t="n">
        <x:f>IF(SUMIFS($F$7:$F$286,$A$7:$A$286,A203,$B$7:$B$286,B203)=0,"",F203/SUMIFS($F$7:$F$286,$A$7:$A$286,A203,$B$7:$B$286,B203))</x:f>
        <x:v>0</x:v>
      </x:c>
      <x:c r="K203" s="155" t="n">
        <x:f>IF(SUMIFS($G$7:$G$286,$A$7:$A$286,A203,$B$7:$B$286,B203)=0,"",G203/SUMIFS($G$7:$G$286,$A$7:$A$286,A203,$B$7:$B$286,B203))</x:f>
        <x:v>0.08669669149489001</x:v>
      </x:c>
      <x:c r="L203" s="1"/>
      <x:c r="M203" s="1"/>
      <x:c r="N203" s="1"/>
      <x:c r="O203" s="1"/>
      <x:c r="P203" s="1"/>
      <x:c r="Q203" s="1"/>
    </x:row>
    <x:row r="204">
      <x:c r="A204" s="151" t="n">
        <x:v>46113</x:v>
      </x:c>
      <x:c r="B204" s="152" t="str">
        <x:v>假日</x:v>
      </x:c>
      <x:c r="C204" s="152" t="str">
        <x:v>55~64歲</x:v>
      </x:c>
      <x:c r="D204" s="40" t="n">
        <x:v>5724</x:v>
      </x:c>
      <x:c r="E204" s="40" t="n">
        <x:v>4376</x:v>
      </x:c>
      <x:c r="F204" s="153" t="n">
        <x:v>0</x:v>
      </x:c>
      <x:c r="G204" s="154" t="n">
        <x:f>SUM(D204:F204)</x:f>
        <x:v>10100</x:v>
      </x:c>
      <x:c r="H204" s="155" t="n">
        <x:f>IF(SUMIFS($D$7:$D$286,$A$7:$A$286,A204,$B$7:$B$286,B204)=0,"",D204/SUMIFS($D$7:$D$286,$A$7:$A$286,A204,$B$7:$B$286,B204))</x:f>
        <x:v>0.10490048748304805</x:v>
      </x:c>
      <x:c r="I204" s="155" t="n">
        <x:f>IF(SUMIFS($E$7:$E$286,$A$7:$A$286,A204,$B$7:$B$286,B204)=0,"",E204/SUMIFS($E$7:$E$286,$A$7:$A$286,A204,$B$7:$B$286,B204))</x:f>
        <x:v>0.10833828480887304</x:v>
      </x:c>
      <x:c r="J204" s="155" t="n">
        <x:f>IF(SUMIFS($F$7:$F$286,$A$7:$A$286,A204,$B$7:$B$286,B204)=0,"",F204/SUMIFS($F$7:$F$286,$A$7:$A$286,A204,$B$7:$B$286,B204))</x:f>
        <x:v>0</x:v>
      </x:c>
      <x:c r="K204" s="155" t="n">
        <x:f>IF(SUMIFS($G$7:$G$286,$A$7:$A$286,A204,$B$7:$B$286,B204)=0,"",G204/SUMIFS($G$7:$G$286,$A$7:$A$286,A204,$B$7:$B$286,B204))</x:f>
        <x:v>0.04859787901533961</x:v>
      </x:c>
      <x:c r="L204" s="1"/>
      <x:c r="M204" s="1"/>
      <x:c r="N204" s="1"/>
      <x:c r="O204" s="1"/>
      <x:c r="P204" s="1"/>
      <x:c r="Q204" s="1"/>
    </x:row>
    <x:row r="205">
      <x:c r="A205" s="151" t="n">
        <x:v>46113</x:v>
      </x:c>
      <x:c r="B205" s="152" t="str">
        <x:v>假日</x:v>
      </x:c>
      <x:c r="C205" s="152" t="str">
        <x:v>65~100歲</x:v>
      </x:c>
      <x:c r="D205" s="40" t="n">
        <x:v>9386</x:v>
      </x:c>
      <x:c r="E205" s="40" t="n">
        <x:v>3198</x:v>
      </x:c>
      <x:c r="F205" s="153" t="n">
        <x:v>0</x:v>
      </x:c>
      <x:c r="G205" s="154" t="n">
        <x:f>SUM(D205:F205)</x:f>
        <x:v>12584</x:v>
      </x:c>
      <x:c r="H205" s="155" t="n">
        <x:f>IF(SUMIFS($D$7:$D$286,$A$7:$A$286,A205,$B$7:$B$286,B205)=0,"",D205/SUMIFS($D$7:$D$286,$A$7:$A$286,A205,$B$7:$B$286,B205))</x:f>
        <x:v>0.17201187552688488</x:v>
      </x:c>
      <x:c r="I205" s="155" t="n">
        <x:f>IF(SUMIFS($E$7:$E$286,$A$7:$A$286,A205,$B$7:$B$286,B205)=0,"",E205/SUMIFS($E$7:$E$286,$A$7:$A$286,A205,$B$7:$B$286,B205))</x:f>
        <x:v>0.07917409387997623</x:v>
      </x:c>
      <x:c r="J205" s="155" t="n">
        <x:f>IF(SUMIFS($F$7:$F$286,$A$7:$A$286,A205,$B$7:$B$286,B205)=0,"",F205/SUMIFS($F$7:$F$286,$A$7:$A$286,A205,$B$7:$B$286,B205))</x:f>
        <x:v>0</x:v>
      </x:c>
      <x:c r="K205" s="155" t="n">
        <x:f>IF(SUMIFS($G$7:$G$286,$A$7:$A$286,A205,$B$7:$B$286,B205)=0,"",G205/SUMIFS($G$7:$G$286,$A$7:$A$286,A205,$B$7:$B$286,B205))</x:f>
        <x:v>0.060550070250399365</x:v>
      </x:c>
      <x:c r="L205" s="1"/>
      <x:c r="M205" s="1"/>
      <x:c r="N205" s="1"/>
      <x:c r="O205" s="1"/>
      <x:c r="P205" s="1"/>
      <x:c r="Q205" s="1"/>
    </x:row>
    <x:row r="206">
      <x:c r="A206" s="151" t="n">
        <x:v>46113</x:v>
      </x:c>
      <x:c r="B206" s="152" t="str">
        <x:v>假日</x:v>
      </x:c>
      <x:c r="C206" s="152" t="str">
        <x:v>未投保或資料有誤</x:v>
      </x:c>
      <x:c r="D206" s="40" t="n">
        <x:v>0</x:v>
      </x:c>
      <x:c r="E206" s="40" t="n">
        <x:v>0</x:v>
      </x:c>
      <x:c r="F206" s="153" t="n">
        <x:v>112870</x:v>
      </x:c>
      <x:c r="G206" s="154" t="n">
        <x:f>SUM(D206:F206)</x:f>
        <x:v>112870</x:v>
      </x:c>
      <x:c r="H206" s="155" t="n">
        <x:f>IF(SUMIFS($D$7:$D$286,$A$7:$A$286,A206,$B$7:$B$286,B206)=0,"",D206/SUMIFS($D$7:$D$286,$A$7:$A$286,A206,$B$7:$B$286,B206))</x:f>
        <x:v>0</x:v>
      </x:c>
      <x:c r="I206" s="155" t="n">
        <x:f>IF(SUMIFS($E$7:$E$286,$A$7:$A$286,A206,$B$7:$B$286,B206)=0,"",E206/SUMIFS($E$7:$E$286,$A$7:$A$286,A206,$B$7:$B$286,B206))</x:f>
        <x:v>0</x:v>
      </x:c>
      <x:c r="J206" s="155" t="n">
        <x:f>IF(SUMIFS($F$7:$F$286,$A$7:$A$286,A206,$B$7:$B$286,B206)=0,"",F206/SUMIFS($F$7:$F$286,$A$7:$A$286,A206,$B$7:$B$286,B206))</x:f>
        <x:v>1</x:v>
      </x:c>
      <x:c r="K206" s="155" t="n">
        <x:f>IF(SUMIFS($G$7:$G$286,$A$7:$A$286,A206,$B$7:$B$286,B206)=0,"",G206/SUMIFS($G$7:$G$286,$A$7:$A$286,A206,$B$7:$B$286,B206))</x:f>
        <x:v>0.5430933271743942</x:v>
      </x:c>
      <x:c r="L206" s="1"/>
      <x:c r="M206" s="1"/>
      <x:c r="N206" s="1"/>
      <x:c r="O206" s="1"/>
      <x:c r="P206" s="1"/>
      <x:c r="Q206" s="1"/>
    </x:row>
    <x:row r="207">
      <x:c r="A207" s="151" t="n">
        <x:v>46143</x:v>
      </x:c>
      <x:c r="B207" s="152" t="str">
        <x:v>平日</x:v>
      </x:c>
      <x:c r="C207" s="152" t="str">
        <x:v>08~11歲</x:v>
      </x:c>
      <x:c r="D207" s="40" t="n">
        <x:v>342</x:v>
      </x:c>
      <x:c r="E207" s="40" t="n">
        <x:v>111</x:v>
      </x:c>
      <x:c r="F207" s="153" t="n">
        <x:v>0</x:v>
      </x:c>
      <x:c r="G207" s="154" t="n">
        <x:f>SUM(D207:F207)</x:f>
        <x:v>453</x:v>
      </x:c>
      <x:c r="H207" s="155" t="n">
        <x:f>IF(SUMIFS($D$7:$D$286,$A$7:$A$286,A207,$B$7:$B$286,B207)=0,"",D207/SUMIFS($D$7:$D$286,$A$7:$A$286,A207,$B$7:$B$286,B207))</x:f>
        <x:v>0.002285103397587946</x:v>
      </x:c>
      <x:c r="I207" s="155" t="n">
        <x:f>IF(SUMIFS($E$7:$E$286,$A$7:$A$286,A207,$B$7:$B$286,B207)=0,"",E207/SUMIFS($E$7:$E$286,$A$7:$A$286,A207,$B$7:$B$286,B207))</x:f>
        <x:v>0.0009551509310570337</x:v>
      </x:c>
      <x:c r="J207" s="155" t="n">
        <x:f>IF(SUMIFS($F$7:$F$286,$A$7:$A$286,A207,$B$7:$B$286,B207)=0,"",F207/SUMIFS($F$7:$F$286,$A$7:$A$286,A207,$B$7:$B$286,B207))</x:f>
        <x:v>0</x:v>
      </x:c>
      <x:c r="K207" s="155" t="n">
        <x:f>IF(SUMIFS($G$7:$G$286,$A$7:$A$286,A207,$B$7:$B$286,B207)=0,"",G207/SUMIFS($G$7:$G$286,$A$7:$A$286,A207,$B$7:$B$286,B207))</x:f>
        <x:v>0.0007744304602476126</x:v>
      </x:c>
      <x:c r="L207" s="1"/>
      <x:c r="M207" s="1"/>
      <x:c r="N207" s="1"/>
      <x:c r="O207" s="1"/>
      <x:c r="P207" s="1"/>
      <x:c r="Q207" s="1"/>
    </x:row>
    <x:row r="208">
      <x:c r="A208" s="151" t="n">
        <x:v>46143</x:v>
      </x:c>
      <x:c r="B208" s="152" t="str">
        <x:v>平日</x:v>
      </x:c>
      <x:c r="C208" s="152" t="str">
        <x:v>12~14歲</x:v>
      </x:c>
      <x:c r="D208" s="40" t="n">
        <x:v>3795</x:v>
      </x:c>
      <x:c r="E208" s="40" t="n">
        <x:v>1128</x:v>
      </x:c>
      <x:c r="F208" s="153" t="n">
        <x:v>0</x:v>
      </x:c>
      <x:c r="G208" s="154" t="n">
        <x:f>SUM(D208:F208)</x:f>
        <x:v>4923</x:v>
      </x:c>
      <x:c r="H208" s="155" t="n">
        <x:f>IF(SUMIFS($D$7:$D$286,$A$7:$A$286,A208,$B$7:$B$286,B208)=0,"",D208/SUMIFS($D$7:$D$286,$A$7:$A$286,A208,$B$7:$B$286,B208))</x:f>
        <x:v>0.025356629806568002</x:v>
      </x:c>
      <x:c r="I208" s="155" t="n">
        <x:f>IF(SUMIFS($E$7:$E$286,$A$7:$A$286,A208,$B$7:$B$286,B208)=0,"",E208/SUMIFS($E$7:$E$286,$A$7:$A$286,A208,$B$7:$B$286,B208))</x:f>
        <x:v>0.009706398650741748</x:v>
      </x:c>
      <x:c r="J208" s="155" t="n">
        <x:f>IF(SUMIFS($F$7:$F$286,$A$7:$A$286,A208,$B$7:$B$286,B208)=0,"",F208/SUMIFS($F$7:$F$286,$A$7:$A$286,A208,$B$7:$B$286,B208))</x:f>
        <x:v>0</x:v>
      </x:c>
      <x:c r="K208" s="155" t="n">
        <x:f>IF(SUMIFS($G$7:$G$286,$A$7:$A$286,A208,$B$7:$B$286,B208)=0,"",G208/SUMIFS($G$7:$G$286,$A$7:$A$286,A208,$B$7:$B$286,B208))</x:f>
        <x:v>0.008416161491830014</x:v>
      </x:c>
      <x:c r="L208" s="1"/>
      <x:c r="M208" s="1"/>
      <x:c r="N208" s="1"/>
      <x:c r="O208" s="1"/>
      <x:c r="P208" s="1"/>
      <x:c r="Q208" s="1"/>
    </x:row>
    <x:row r="209">
      <x:c r="A209" s="151" t="n">
        <x:v>46143</x:v>
      </x:c>
      <x:c r="B209" s="152" t="str">
        <x:v>平日</x:v>
      </x:c>
      <x:c r="C209" s="152" t="str">
        <x:v>15~17歲</x:v>
      </x:c>
      <x:c r="D209" s="40" t="n">
        <x:v>8201</x:v>
      </x:c>
      <x:c r="E209" s="40" t="n">
        <x:v>2727</x:v>
      </x:c>
      <x:c r="F209" s="153" t="n">
        <x:v>0</x:v>
      </x:c>
      <x:c r="G209" s="154" t="n">
        <x:f>SUM(D209:F209)</x:f>
        <x:v>10928</x:v>
      </x:c>
      <x:c r="H209" s="155" t="n">
        <x:f>IF(SUMIFS($D$7:$D$286,$A$7:$A$286,A209,$B$7:$B$286,B209)=0,"",D209/SUMIFS($D$7:$D$286,$A$7:$A$286,A209,$B$7:$B$286,B209))</x:f>
        <x:v>0.05479571041993786</x:v>
      </x:c>
      <x:c r="I209" s="155" t="n">
        <x:f>IF(SUMIFS($E$7:$E$286,$A$7:$A$286,A209,$B$7:$B$286,B209)=0,"",E209/SUMIFS($E$7:$E$286,$A$7:$A$286,A209,$B$7:$B$286,B209))</x:f>
        <x:v>0.023465735035968747</x:v>
      </x:c>
      <x:c r="J209" s="155" t="n">
        <x:f>IF(SUMIFS($F$7:$F$286,$A$7:$A$286,A209,$B$7:$B$286,B209)=0,"",F209/SUMIFS($F$7:$F$286,$A$7:$A$286,A209,$B$7:$B$286,B209))</x:f>
        <x:v>0</x:v>
      </x:c>
      <x:c r="K209" s="155" t="n">
        <x:f>IF(SUMIFS($G$7:$G$286,$A$7:$A$286,A209,$B$7:$B$286,B209)=0,"",G209/SUMIFS($G$7:$G$286,$A$7:$A$286,A209,$B$7:$B$286,B209))</x:f>
        <x:v>0.018682066378776844</x:v>
      </x:c>
      <x:c r="L209" s="1"/>
      <x:c r="M209" s="1"/>
      <x:c r="N209" s="1"/>
      <x:c r="O209" s="1"/>
      <x:c r="P209" s="1"/>
      <x:c r="Q209" s="1"/>
    </x:row>
    <x:row r="210">
      <x:c r="A210" s="151" t="n">
        <x:v>46143</x:v>
      </x:c>
      <x:c r="B210" s="152" t="str">
        <x:v>平日</x:v>
      </x:c>
      <x:c r="C210" s="152" t="str">
        <x:v>18~24歲</x:v>
      </x:c>
      <x:c r="D210" s="40" t="n">
        <x:v>15490</x:v>
      </x:c>
      <x:c r="E210" s="40" t="n">
        <x:v>12214</x:v>
      </x:c>
      <x:c r="F210" s="153" t="n">
        <x:v>0</x:v>
      </x:c>
      <x:c r="G210" s="154" t="n">
        <x:f>SUM(D210:F210)</x:f>
        <x:v>27704</x:v>
      </x:c>
      <x:c r="H210" s="155" t="n">
        <x:f>IF(SUMIFS($D$7:$D$286,$A$7:$A$286,A210,$B$7:$B$286,B210)=0,"",D210/SUMIFS($D$7:$D$286,$A$7:$A$286,A210,$B$7:$B$286,B210))</x:f>
        <x:v>0.1034978117796412</x:v>
      </x:c>
      <x:c r="I210" s="155" t="n">
        <x:f>IF(SUMIFS($E$7:$E$286,$A$7:$A$286,A210,$B$7:$B$286,B210)=0,"",E210/SUMIFS($E$7:$E$286,$A$7:$A$286,A210,$B$7:$B$286,B210))</x:f>
        <x:v>0.10510102226964513</x:v>
      </x:c>
      <x:c r="J210" s="155" t="n">
        <x:f>IF(SUMIFS($F$7:$F$286,$A$7:$A$286,A210,$B$7:$B$286,B210)=0,"",F210/SUMIFS($F$7:$F$286,$A$7:$A$286,A210,$B$7:$B$286,B210))</x:f>
        <x:v>0</x:v>
      </x:c>
      <x:c r="K210" s="155" t="n">
        <x:f>IF(SUMIFS($G$7:$G$286,$A$7:$A$286,A210,$B$7:$B$286,B210)=0,"",G210/SUMIFS($G$7:$G$286,$A$7:$A$286,A210,$B$7:$B$286,B210))</x:f>
        <x:v>0.04736163680066194</x:v>
      </x:c>
      <x:c r="L210" s="1"/>
      <x:c r="M210" s="1"/>
      <x:c r="N210" s="1"/>
      <x:c r="O210" s="1"/>
      <x:c r="P210" s="1"/>
      <x:c r="Q210" s="1"/>
    </x:row>
    <x:row r="211">
      <x:c r="A211" s="151" t="n">
        <x:v>46143</x:v>
      </x:c>
      <x:c r="B211" s="152" t="str">
        <x:v>平日</x:v>
      </x:c>
      <x:c r="C211" s="152" t="str">
        <x:v>25~34歲</x:v>
      </x:c>
      <x:c r="D211" s="40" t="n">
        <x:v>31135</x:v>
      </x:c>
      <x:c r="E211" s="40" t="n">
        <x:v>28839</x:v>
      </x:c>
      <x:c r="F211" s="153" t="n">
        <x:v>0</x:v>
      </x:c>
      <x:c r="G211" s="154" t="n">
        <x:f>SUM(D211:F211)</x:f>
        <x:v>59974</x:v>
      </x:c>
      <x:c r="H211" s="155" t="n">
        <x:f>IF(SUMIFS($D$7:$D$286,$A$7:$A$286,A211,$B$7:$B$286,B211)=0,"",D211/SUMIFS($D$7:$D$286,$A$7:$A$286,A211,$B$7:$B$286,B211))</x:f>
        <x:v>0.20803126983596698</x:v>
      </x:c>
      <x:c r="I211" s="155" t="n">
        <x:f>IF(SUMIFS($E$7:$E$286,$A$7:$A$286,A211,$B$7:$B$286,B211)=0,"",E211/SUMIFS($E$7:$E$286,$A$7:$A$286,A211,$B$7:$B$286,B211))</x:f>
        <x:v>0.24815853784462877</x:v>
      </x:c>
      <x:c r="J211" s="155" t="n">
        <x:f>IF(SUMIFS($F$7:$F$286,$A$7:$A$286,A211,$B$7:$B$286,B211)=0,"",F211/SUMIFS($F$7:$F$286,$A$7:$A$286,A211,$B$7:$B$286,B211))</x:f>
        <x:v>0</x:v>
      </x:c>
      <x:c r="K211" s="155" t="n">
        <x:f>IF(SUMIFS($G$7:$G$286,$A$7:$A$286,A211,$B$7:$B$286,B211)=0,"",G211/SUMIFS($G$7:$G$286,$A$7:$A$286,A211,$B$7:$B$286,B211))</x:f>
        <x:v>0.10252912234633624</x:v>
      </x:c>
      <x:c r="L211" s="1"/>
      <x:c r="M211" s="1"/>
      <x:c r="N211" s="1"/>
      <x:c r="O211" s="1"/>
      <x:c r="P211" s="1"/>
      <x:c r="Q211" s="1"/>
    </x:row>
    <x:row r="212">
      <x:c r="A212" s="151" t="n">
        <x:v>46143</x:v>
      </x:c>
      <x:c r="B212" s="152" t="str">
        <x:v>平日</x:v>
      </x:c>
      <x:c r="C212" s="152" t="str">
        <x:v>35~44歲</x:v>
      </x:c>
      <x:c r="D212" s="40" t="n">
        <x:v>28179</x:v>
      </x:c>
      <x:c r="E212" s="40" t="n">
        <x:v>27951</x:v>
      </x:c>
      <x:c r="F212" s="153" t="n">
        <x:v>0</x:v>
      </x:c>
      <x:c r="G212" s="154" t="n">
        <x:f>SUM(D212:F212)</x:f>
        <x:v>56130</x:v>
      </x:c>
      <x:c r="H212" s="155" t="n">
        <x:f>IF(SUMIFS($D$7:$D$286,$A$7:$A$286,A212,$B$7:$B$286,B212)=0,"",D212/SUMIFS($D$7:$D$286,$A$7:$A$286,A212,$B$7:$B$286,B212))</x:f>
        <x:v>0.18828049310125947</x:v>
      </x:c>
      <x:c r="I212" s="155" t="n">
        <x:f>IF(SUMIFS($E$7:$E$286,$A$7:$A$286,A212,$B$7:$B$286,B212)=0,"",E212/SUMIFS($E$7:$E$286,$A$7:$A$286,A212,$B$7:$B$286,B212))</x:f>
        <x:v>0.2405173303961725</x:v>
      </x:c>
      <x:c r="J212" s="155" t="n">
        <x:f>IF(SUMIFS($F$7:$F$286,$A$7:$A$286,A212,$B$7:$B$286,B212)=0,"",F212/SUMIFS($F$7:$F$286,$A$7:$A$286,A212,$B$7:$B$286,B212))</x:f>
        <x:v>0</x:v>
      </x:c>
      <x:c r="K212" s="155" t="n">
        <x:f>IF(SUMIFS($G$7:$G$286,$A$7:$A$286,A212,$B$7:$B$286,B212)=0,"",G212/SUMIFS($G$7:$G$286,$A$7:$A$286,A212,$B$7:$B$286,B212))</x:f>
        <x:v>0.09595757557107835</x:v>
      </x:c>
      <x:c r="L212" s="1"/>
      <x:c r="M212" s="1"/>
      <x:c r="N212" s="1"/>
      <x:c r="O212" s="1"/>
      <x:c r="P212" s="1"/>
      <x:c r="Q212" s="1"/>
    </x:row>
    <x:row r="213">
      <x:c r="A213" s="151" t="n">
        <x:v>46143</x:v>
      </x:c>
      <x:c r="B213" s="152" t="str">
        <x:v>平日</x:v>
      </x:c>
      <x:c r="C213" s="152" t="str">
        <x:v>45~54歲</x:v>
      </x:c>
      <x:c r="D213" s="40" t="n">
        <x:v>23135</x:v>
      </x:c>
      <x:c r="E213" s="40" t="n">
        <x:v>23362</x:v>
      </x:c>
      <x:c r="F213" s="153" t="n">
        <x:v>0</x:v>
      </x:c>
      <x:c r="G213" s="154" t="n">
        <x:f>SUM(D213:F213)</x:f>
        <x:v>46497</x:v>
      </x:c>
      <x:c r="H213" s="155" t="n">
        <x:f>IF(SUMIFS($D$7:$D$286,$A$7:$A$286,A213,$B$7:$B$286,B213)=0,"",D213/SUMIFS($D$7:$D$286,$A$7:$A$286,A213,$B$7:$B$286,B213))</x:f>
        <x:v>0.15457855878127819</x:v>
      </x:c>
      <x:c r="I213" s="155" t="n">
        <x:f>IF(SUMIFS($E$7:$E$286,$A$7:$A$286,A213,$B$7:$B$286,B213)=0,"",E213/SUMIFS($E$7:$E$286,$A$7:$A$286,A213,$B$7:$B$286,B213))</x:f>
        <x:v>0.2010291536158056</x:v>
      </x:c>
      <x:c r="J213" s="155" t="n">
        <x:f>IF(SUMIFS($F$7:$F$286,$A$7:$A$286,A213,$B$7:$B$286,B213)=0,"",F213/SUMIFS($F$7:$F$286,$A$7:$A$286,A213,$B$7:$B$286,B213))</x:f>
        <x:v>0</x:v>
      </x:c>
      <x:c r="K213" s="155" t="n">
        <x:f>IF(SUMIFS($G$7:$G$286,$A$7:$A$286,A213,$B$7:$B$286,B213)=0,"",G213/SUMIFS($G$7:$G$286,$A$7:$A$286,A213,$B$7:$B$286,B213))</x:f>
        <x:v>0.07948938876409105</x:v>
      </x:c>
      <x:c r="L213" s="1"/>
      <x:c r="M213" s="1"/>
      <x:c r="N213" s="1"/>
      <x:c r="O213" s="1"/>
      <x:c r="P213" s="1"/>
      <x:c r="Q213" s="1"/>
    </x:row>
    <x:row r="214">
      <x:c r="A214" s="151" t="n">
        <x:v>46143</x:v>
      </x:c>
      <x:c r="B214" s="152" t="str">
        <x:v>平日</x:v>
      </x:c>
      <x:c r="C214" s="152" t="str">
        <x:v>55~64歲</x:v>
      </x:c>
      <x:c r="D214" s="40" t="n">
        <x:v>14471</x:v>
      </x:c>
      <x:c r="E214" s="40" t="n">
        <x:v>11500</x:v>
      </x:c>
      <x:c r="F214" s="153" t="n">
        <x:v>0</x:v>
      </x:c>
      <x:c r="G214" s="154" t="n">
        <x:f>SUM(D214:F214)</x:f>
        <x:v>25971</x:v>
      </x:c>
      <x:c r="H214" s="155" t="n">
        <x:f>IF(SUMIFS($D$7:$D$286,$A$7:$A$286,A214,$B$7:$B$286,B214)=0,"",D214/SUMIFS($D$7:$D$286,$A$7:$A$286,A214,$B$7:$B$286,B214))</x:f>
        <x:v>0.09668927270905021</x:v>
      </x:c>
      <x:c r="I214" s="155" t="n">
        <x:f>IF(SUMIFS($E$7:$E$286,$A$7:$A$286,A214,$B$7:$B$286,B214)=0,"",E214/SUMIFS($E$7:$E$286,$A$7:$A$286,A214,$B$7:$B$286,B214))</x:f>
        <x:v>0.09895707844284583</x:v>
      </x:c>
      <x:c r="J214" s="155" t="n">
        <x:f>IF(SUMIFS($F$7:$F$286,$A$7:$A$286,A214,$B$7:$B$286,B214)=0,"",F214/SUMIFS($F$7:$F$286,$A$7:$A$286,A214,$B$7:$B$286,B214))</x:f>
        <x:v>0</x:v>
      </x:c>
      <x:c r="K214" s="155" t="n">
        <x:f>IF(SUMIFS($G$7:$G$286,$A$7:$A$286,A214,$B$7:$B$286,B214)=0,"",G214/SUMIFS($G$7:$G$286,$A$7:$A$286,A214,$B$7:$B$286,B214))</x:f>
        <x:v>0.04439897016134823</x:v>
      </x:c>
      <x:c r="L214" s="1"/>
      <x:c r="M214" s="1"/>
      <x:c r="N214" s="1"/>
      <x:c r="O214" s="1"/>
      <x:c r="P214" s="1"/>
      <x:c r="Q214" s="1"/>
    </x:row>
    <x:row r="215">
      <x:c r="A215" s="151" t="n">
        <x:v>46143</x:v>
      </x:c>
      <x:c r="B215" s="152" t="str">
        <x:v>平日</x:v>
      </x:c>
      <x:c r="C215" s="152" t="str">
        <x:v>65~100歲</x:v>
      </x:c>
      <x:c r="D215" s="40" t="n">
        <x:v>24917</x:v>
      </x:c>
      <x:c r="E215" s="40" t="n">
        <x:v>8380</x:v>
      </x:c>
      <x:c r="F215" s="153" t="n">
        <x:v>0</x:v>
      </x:c>
      <x:c r="G215" s="154" t="n">
        <x:f>SUM(D215:F215)</x:f>
        <x:v>33297</x:v>
      </x:c>
      <x:c r="H215" s="155" t="n">
        <x:f>IF(SUMIFS($D$7:$D$286,$A$7:$A$286,A215,$B$7:$B$286,B215)=0,"",D215/SUMIFS($D$7:$D$286,$A$7:$A$286,A215,$B$7:$B$286,B215))</x:f>
        <x:v>0.16648515016871013</x:v>
      </x:c>
      <x:c r="I215" s="155" t="n">
        <x:f>IF(SUMIFS($E$7:$E$286,$A$7:$A$286,A215,$B$7:$B$286,B215)=0,"",E215/SUMIFS($E$7:$E$286,$A$7:$A$286,A215,$B$7:$B$286,B215))</x:f>
        <x:v>0.07210959281313462</x:v>
      </x:c>
      <x:c r="J215" s="155" t="n">
        <x:f>IF(SUMIFS($F$7:$F$286,$A$7:$A$286,A215,$B$7:$B$286,B215)=0,"",F215/SUMIFS($F$7:$F$286,$A$7:$A$286,A215,$B$7:$B$286,B215))</x:f>
        <x:v>0</x:v>
      </x:c>
      <x:c r="K215" s="155" t="n">
        <x:f>IF(SUMIFS($G$7:$G$286,$A$7:$A$286,A215,$B$7:$B$286,B215)=0,"",G215/SUMIFS($G$7:$G$286,$A$7:$A$286,A215,$B$7:$B$286,B215))</x:f>
        <x:v>0.05692320316747187</x:v>
      </x:c>
      <x:c r="L215" s="1"/>
      <x:c r="M215" s="1"/>
      <x:c r="N215" s="1"/>
      <x:c r="O215" s="1"/>
      <x:c r="P215" s="1"/>
      <x:c r="Q215" s="1"/>
    </x:row>
    <x:row r="216">
      <x:c r="A216" s="151" t="n">
        <x:v>46143</x:v>
      </x:c>
      <x:c r="B216" s="152" t="str">
        <x:v>平日</x:v>
      </x:c>
      <x:c r="C216" s="152" t="str">
        <x:v>未投保或資料有誤</x:v>
      </x:c>
      <x:c r="D216" s="40" t="n">
        <x:v>0</x:v>
      </x:c>
      <x:c r="E216" s="40" t="n">
        <x:v>0</x:v>
      </x:c>
      <x:c r="F216" s="153" t="n">
        <x:v>319069</x:v>
      </x:c>
      <x:c r="G216" s="154" t="n">
        <x:f>SUM(D216:F216)</x:f>
        <x:v>319069</x:v>
      </x:c>
      <x:c r="H216" s="155" t="n">
        <x:f>IF(SUMIFS($D$7:$D$286,$A$7:$A$286,A216,$B$7:$B$286,B216)=0,"",D216/SUMIFS($D$7:$D$286,$A$7:$A$286,A216,$B$7:$B$286,B216))</x:f>
        <x:v>0</x:v>
      </x:c>
      <x:c r="I216" s="155" t="n">
        <x:f>IF(SUMIFS($E$7:$E$286,$A$7:$A$286,A216,$B$7:$B$286,B216)=0,"",E216/SUMIFS($E$7:$E$286,$A$7:$A$286,A216,$B$7:$B$286,B216))</x:f>
        <x:v>0</x:v>
      </x:c>
      <x:c r="J216" s="155" t="n">
        <x:f>IF(SUMIFS($F$7:$F$286,$A$7:$A$286,A216,$B$7:$B$286,B216)=0,"",F216/SUMIFS($F$7:$F$286,$A$7:$A$286,A216,$B$7:$B$286,B216))</x:f>
        <x:v>1</x:v>
      </x:c>
      <x:c r="K216" s="155" t="n">
        <x:f>IF(SUMIFS($G$7:$G$286,$A$7:$A$286,A216,$B$7:$B$286,B216)=0,"",G216/SUMIFS($G$7:$G$286,$A$7:$A$286,A216,$B$7:$B$286,B216))</x:f>
        <x:v>0.5454674448581579</x:v>
      </x:c>
      <x:c r="L216" s="1"/>
      <x:c r="M216" s="1"/>
      <x:c r="N216" s="1"/>
      <x:c r="O216" s="1"/>
      <x:c r="P216" s="1"/>
      <x:c r="Q216" s="1"/>
    </x:row>
    <x:row r="217">
      <x:c r="A217" s="151" t="n">
        <x:v>46143</x:v>
      </x:c>
      <x:c r="B217" s="152" t="str">
        <x:v>假日</x:v>
      </x:c>
      <x:c r="C217" s="152" t="str">
        <x:v>08~11歲</x:v>
      </x:c>
      <x:c r="D217" s="40" t="n">
        <x:v>280</x:v>
      </x:c>
      <x:c r="E217" s="40" t="n">
        <x:v>103</x:v>
      </x:c>
      <x:c r="F217" s="153" t="n">
        <x:v>0</x:v>
      </x:c>
      <x:c r="G217" s="154" t="n">
        <x:f>SUM(D217:F217)</x:f>
        <x:v>383</x:v>
      </x:c>
      <x:c r="H217" s="155" t="n">
        <x:f>IF(SUMIFS($D$7:$D$286,$A$7:$A$286,A217,$B$7:$B$286,B217)=0,"",D217/SUMIFS($D$7:$D$286,$A$7:$A$286,A217,$B$7:$B$286,B217))</x:f>
        <x:v>0.0035394650351418316</x:v>
      </x:c>
      <x:c r="I217" s="155" t="n">
        <x:f>IF(SUMIFS($E$7:$E$286,$A$7:$A$286,A217,$B$7:$B$286,B217)=0,"",E217/SUMIFS($E$7:$E$286,$A$7:$A$286,A217,$B$7:$B$286,B217))</x:f>
        <x:v>0.0017342987034854353</x:v>
      </x:c>
      <x:c r="J217" s="155" t="n">
        <x:f>IF(SUMIFS($F$7:$F$286,$A$7:$A$286,A217,$B$7:$B$286,B217)=0,"",F217/SUMIFS($F$7:$F$286,$A$7:$A$286,A217,$B$7:$B$286,B217))</x:f>
        <x:v>0</x:v>
      </x:c>
      <x:c r="K217" s="155" t="n">
        <x:f>IF(SUMIFS($G$7:$G$286,$A$7:$A$286,A217,$B$7:$B$286,B217)=0,"",G217/SUMIFS($G$7:$G$286,$A$7:$A$286,A217,$B$7:$B$286,B217))</x:f>
        <x:v>0.001226235680576811</x:v>
      </x:c>
      <x:c r="L217" s="1"/>
      <x:c r="M217" s="1"/>
      <x:c r="N217" s="1"/>
      <x:c r="O217" s="1"/>
      <x:c r="P217" s="1"/>
      <x:c r="Q217" s="1"/>
    </x:row>
    <x:row r="218">
      <x:c r="A218" s="151" t="n">
        <x:v>46143</x:v>
      </x:c>
      <x:c r="B218" s="152" t="str">
        <x:v>假日</x:v>
      </x:c>
      <x:c r="C218" s="152" t="str">
        <x:v>12~14歲</x:v>
      </x:c>
      <x:c r="D218" s="40" t="n">
        <x:v>1820</x:v>
      </x:c>
      <x:c r="E218" s="40" t="n">
        <x:v>559</x:v>
      </x:c>
      <x:c r="F218" s="153" t="n">
        <x:v>0</x:v>
      </x:c>
      <x:c r="G218" s="154" t="n">
        <x:f>SUM(D218:F218)</x:f>
        <x:v>2379</x:v>
      </x:c>
      <x:c r="H218" s="155" t="n">
        <x:f>IF(SUMIFS($D$7:$D$286,$A$7:$A$286,A218,$B$7:$B$286,B218)=0,"",D218/SUMIFS($D$7:$D$286,$A$7:$A$286,A218,$B$7:$B$286,B218))</x:f>
        <x:v>0.023006522728421904</x:v>
      </x:c>
      <x:c r="I218" s="155" t="n">
        <x:f>IF(SUMIFS($E$7:$E$286,$A$7:$A$286,A218,$B$7:$B$286,B218)=0,"",E218/SUMIFS($E$7:$E$286,$A$7:$A$286,A218,$B$7:$B$286,B218))</x:f>
        <x:v>0.00941235898299377</x:v>
      </x:c>
      <x:c r="J218" s="155" t="n">
        <x:f>IF(SUMIFS($F$7:$F$286,$A$7:$A$286,A218,$B$7:$B$286,B218)=0,"",F218/SUMIFS($F$7:$F$286,$A$7:$A$286,A218,$B$7:$B$286,B218))</x:f>
        <x:v>0</x:v>
      </x:c>
      <x:c r="K218" s="155" t="n">
        <x:f>IF(SUMIFS($G$7:$G$286,$A$7:$A$286,A218,$B$7:$B$286,B218)=0,"",G218/SUMIFS($G$7:$G$286,$A$7:$A$286,A218,$B$7:$B$286,B218))</x:f>
        <x:v>0.00761674852243403</x:v>
      </x:c>
      <x:c r="L218" s="1"/>
      <x:c r="M218" s="1"/>
      <x:c r="N218" s="1"/>
      <x:c r="O218" s="1"/>
      <x:c r="P218" s="1"/>
      <x:c r="Q218" s="1"/>
    </x:row>
    <x:row r="219">
      <x:c r="A219" s="151" t="n">
        <x:v>46143</x:v>
      </x:c>
      <x:c r="B219" s="152" t="str">
        <x:v>假日</x:v>
      </x:c>
      <x:c r="C219" s="152" t="str">
        <x:v>15~17歲</x:v>
      </x:c>
      <x:c r="D219" s="40" t="n">
        <x:v>3222</x:v>
      </x:c>
      <x:c r="E219" s="40" t="n">
        <x:v>1233</x:v>
      </x:c>
      <x:c r="F219" s="153" t="n">
        <x:v>0</x:v>
      </x:c>
      <x:c r="G219" s="154" t="n">
        <x:f>SUM(D219:F219)</x:f>
        <x:v>4455</x:v>
      </x:c>
      <x:c r="H219" s="155" t="n">
        <x:f>IF(SUMIFS($D$7:$D$286,$A$7:$A$286,A219,$B$7:$B$286,B219)=0,"",D219/SUMIFS($D$7:$D$286,$A$7:$A$286,A219,$B$7:$B$286,B219))</x:f>
        <x:v>0.040729129797239215</x:v>
      </x:c>
      <x:c r="I219" s="155" t="n">
        <x:f>IF(SUMIFS($E$7:$E$286,$A$7:$A$286,A219,$B$7:$B$286,B219)=0,"",E219/SUMIFS($E$7:$E$286,$A$7:$A$286,A219,$B$7:$B$286,B219))</x:f>
        <x:v>0.020761070887354773</x:v>
      </x:c>
      <x:c r="J219" s="155" t="n">
        <x:f>IF(SUMIFS($F$7:$F$286,$A$7:$A$286,A219,$B$7:$B$286,B219)=0,"",F219/SUMIFS($F$7:$F$286,$A$7:$A$286,A219,$B$7:$B$286,B219))</x:f>
        <x:v>0</x:v>
      </x:c>
      <x:c r="K219" s="155" t="n">
        <x:f>IF(SUMIFS($G$7:$G$286,$A$7:$A$286,A219,$B$7:$B$286,B219)=0,"",G219/SUMIFS($G$7:$G$286,$A$7:$A$286,A219,$B$7:$B$286,B219))</x:f>
        <x:v>0.014263394143524002</x:v>
      </x:c>
      <x:c r="L219" s="1"/>
      <x:c r="M219" s="1"/>
      <x:c r="N219" s="1"/>
      <x:c r="O219" s="1"/>
      <x:c r="P219" s="1"/>
      <x:c r="Q219" s="1"/>
    </x:row>
    <x:row r="220">
      <x:c r="A220" s="151" t="n">
        <x:v>46143</x:v>
      </x:c>
      <x:c r="B220" s="152" t="str">
        <x:v>假日</x:v>
      </x:c>
      <x:c r="C220" s="152" t="str">
        <x:v>18~24歲</x:v>
      </x:c>
      <x:c r="D220" s="40" t="n">
        <x:v>7251</x:v>
      </x:c>
      <x:c r="E220" s="40" t="n">
        <x:v>5758</x:v>
      </x:c>
      <x:c r="F220" s="153" t="n">
        <x:v>0</x:v>
      </x:c>
      <x:c r="G220" s="154" t="n">
        <x:f>SUM(D220:F220)</x:f>
        <x:v>13009</x:v>
      </x:c>
      <x:c r="H220" s="155" t="n">
        <x:f>IF(SUMIFS($D$7:$D$286,$A$7:$A$286,A220,$B$7:$B$286,B220)=0,"",D220/SUMIFS($D$7:$D$286,$A$7:$A$286,A220,$B$7:$B$286,B220))</x:f>
        <x:v>0.09165950346361935</x:v>
      </x:c>
      <x:c r="I220" s="155" t="n">
        <x:f>IF(SUMIFS($E$7:$E$286,$A$7:$A$286,A220,$B$7:$B$286,B220)=0,"",E220/SUMIFS($E$7:$E$286,$A$7:$A$286,A220,$B$7:$B$286,B220))</x:f>
        <x:v>0.09695234888028288</x:v>
      </x:c>
      <x:c r="J220" s="155" t="n">
        <x:f>IF(SUMIFS($F$7:$F$286,$A$7:$A$286,A220,$B$7:$B$286,B220)=0,"",F220/SUMIFS($F$7:$F$286,$A$7:$A$286,A220,$B$7:$B$286,B220))</x:f>
        <x:v>0</x:v>
      </x:c>
      <x:c r="K220" s="155" t="n">
        <x:f>IF(SUMIFS($G$7:$G$286,$A$7:$A$286,A220,$B$7:$B$286,B220)=0,"",G220/SUMIFS($G$7:$G$286,$A$7:$A$286,A220,$B$7:$B$286,B220))</x:f>
        <x:v>0.04165039156298625</x:v>
      </x:c>
      <x:c r="L220" s="1"/>
      <x:c r="M220" s="1"/>
      <x:c r="N220" s="1"/>
      <x:c r="O220" s="1"/>
      <x:c r="P220" s="1"/>
      <x:c r="Q220" s="1"/>
    </x:row>
    <x:row r="221">
      <x:c r="A221" s="151" t="n">
        <x:v>46143</x:v>
      </x:c>
      <x:c r="B221" s="152" t="str">
        <x:v>假日</x:v>
      </x:c>
      <x:c r="C221" s="152" t="str">
        <x:v>25~34歲</x:v>
      </x:c>
      <x:c r="D221" s="40" t="n">
        <x:v>15948</x:v>
      </x:c>
      <x:c r="E221" s="40" t="n">
        <x:v>13890</x:v>
      </x:c>
      <x:c r="F221" s="153" t="n">
        <x:v>0</x:v>
      </x:c>
      <x:c r="G221" s="154" t="n">
        <x:f>SUM(D221:F221)</x:f>
        <x:v>29838</x:v>
      </x:c>
      <x:c r="H221" s="155" t="n">
        <x:f>IF(SUMIFS($D$7:$D$286,$A$7:$A$286,A221,$B$7:$B$286,B221)=0,"",D221/SUMIFS($D$7:$D$286,$A$7:$A$286,A221,$B$7:$B$286,B221))</x:f>
        <x:v>0.20159781564443546</x:v>
      </x:c>
      <x:c r="I221" s="155" t="n">
        <x:f>IF(SUMIFS($E$7:$E$286,$A$7:$A$286,A221,$B$7:$B$286,B221)=0,"",E221/SUMIFS($E$7:$E$286,$A$7:$A$286,A221,$B$7:$B$286,B221))</x:f>
        <x:v>0.23387775719818152</x:v>
      </x:c>
      <x:c r="J221" s="155" t="n">
        <x:f>IF(SUMIFS($F$7:$F$286,$A$7:$A$286,A221,$B$7:$B$286,B221)=0,"",F221/SUMIFS($F$7:$F$286,$A$7:$A$286,A221,$B$7:$B$286,B221))</x:f>
        <x:v>0</x:v>
      </x:c>
      <x:c r="K221" s="155" t="n">
        <x:f>IF(SUMIFS($G$7:$G$286,$A$7:$A$286,A221,$B$7:$B$286,B221)=0,"",G221/SUMIFS($G$7:$G$286,$A$7:$A$286,A221,$B$7:$B$286,B221))</x:f>
        <x:v>0.09553112333433653</x:v>
      </x:c>
      <x:c r="L221" s="1"/>
      <x:c r="M221" s="1"/>
      <x:c r="N221" s="1"/>
      <x:c r="O221" s="1"/>
      <x:c r="P221" s="1"/>
      <x:c r="Q221" s="1"/>
    </x:row>
    <x:row r="222">
      <x:c r="A222" s="151" t="n">
        <x:v>46143</x:v>
      </x:c>
      <x:c r="B222" s="152" t="str">
        <x:v>假日</x:v>
      </x:c>
      <x:c r="C222" s="152" t="str">
        <x:v>35~44歲</x:v>
      </x:c>
      <x:c r="D222" s="40" t="n">
        <x:v>14794</x:v>
      </x:c>
      <x:c r="E222" s="40" t="n">
        <x:v>13418</x:v>
      </x:c>
      <x:c r="F222" s="153" t="n">
        <x:v>0</x:v>
      </x:c>
      <x:c r="G222" s="154" t="n">
        <x:f>SUM(D222:F222)</x:f>
        <x:v>28212</x:v>
      </x:c>
      <x:c r="H222" s="155" t="n">
        <x:f>IF(SUMIFS($D$7:$D$286,$A$7:$A$286,A222,$B$7:$B$286,B222)=0,"",D222/SUMIFS($D$7:$D$286,$A$7:$A$286,A222,$B$7:$B$286,B222))</x:f>
        <x:v>0.1870101633210295</x:v>
      </x:c>
      <x:c r="I222" s="155" t="n">
        <x:f>IF(SUMIFS($E$7:$E$286,$A$7:$A$286,A222,$B$7:$B$286,B222)=0,"",E222/SUMIFS($E$7:$E$286,$A$7:$A$286,A222,$B$7:$B$286,B222))</x:f>
        <x:v>0.22593029129483078</x:v>
      </x:c>
      <x:c r="J222" s="155" t="n">
        <x:f>IF(SUMIFS($F$7:$F$286,$A$7:$A$286,A222,$B$7:$B$286,B222)=0,"",F222/SUMIFS($F$7:$F$286,$A$7:$A$286,A222,$B$7:$B$286,B222))</x:f>
        <x:v>0</x:v>
      </x:c>
      <x:c r="K222" s="155" t="n">
        <x:f>IF(SUMIFS($G$7:$G$286,$A$7:$A$286,A222,$B$7:$B$286,B222)=0,"",G222/SUMIFS($G$7:$G$286,$A$7:$A$286,A222,$B$7:$B$286,B222))</x:f>
        <x:v>0.09032522459643079</x:v>
      </x:c>
      <x:c r="L222" s="1"/>
      <x:c r="M222" s="1"/>
      <x:c r="N222" s="1"/>
      <x:c r="O222" s="1"/>
      <x:c r="P222" s="1"/>
      <x:c r="Q222" s="1"/>
    </x:row>
    <x:row r="223">
      <x:c r="A223" s="151" t="n">
        <x:v>46143</x:v>
      </x:c>
      <x:c r="B223" s="152" t="str">
        <x:v>假日</x:v>
      </x:c>
      <x:c r="C223" s="152" t="str">
        <x:v>45~54歲</x:v>
      </x:c>
      <x:c r="D223" s="40" t="n">
        <x:v>13687</x:v>
      </x:c>
      <x:c r="E223" s="40" t="n">
        <x:v>13321</x:v>
      </x:c>
      <x:c r="F223" s="153" t="n">
        <x:v>0</x:v>
      </x:c>
      <x:c r="G223" s="154" t="n">
        <x:f>SUM(D223:F223)</x:f>
        <x:v>27008</x:v>
      </x:c>
      <x:c r="H223" s="155" t="n">
        <x:f>IF(SUMIFS($D$7:$D$286,$A$7:$A$286,A223,$B$7:$B$286,B223)=0,"",D223/SUMIFS($D$7:$D$286,$A$7:$A$286,A223,$B$7:$B$286,B223))</x:f>
        <x:v>0.17301663548566518</x:v>
      </x:c>
      <x:c r="I223" s="155" t="n">
        <x:f>IF(SUMIFS($E$7:$E$286,$A$7:$A$286,A223,$B$7:$B$286,B223)=0,"",E223/SUMIFS($E$7:$E$286,$A$7:$A$286,A223,$B$7:$B$286,B223))</x:f>
        <x:v>0.22429701970028623</x:v>
      </x:c>
      <x:c r="J223" s="155" t="n">
        <x:f>IF(SUMIFS($F$7:$F$286,$A$7:$A$286,A223,$B$7:$B$286,B223)=0,"",F223/SUMIFS($F$7:$F$286,$A$7:$A$286,A223,$B$7:$B$286,B223))</x:f>
        <x:v>0</x:v>
      </x:c>
      <x:c r="K223" s="155" t="n">
        <x:f>IF(SUMIFS($G$7:$G$286,$A$7:$A$286,A223,$B$7:$B$286,B223)=0,"",G223/SUMIFS($G$7:$G$286,$A$7:$A$286,A223,$B$7:$B$286,B223))</x:f>
        <x:v>0.08647042626897784</x:v>
      </x:c>
      <x:c r="L223" s="1"/>
      <x:c r="M223" s="1"/>
      <x:c r="N223" s="1"/>
      <x:c r="O223" s="1"/>
      <x:c r="P223" s="1"/>
      <x:c r="Q223" s="1"/>
    </x:row>
    <x:row r="224">
      <x:c r="A224" s="151" t="n">
        <x:v>46143</x:v>
      </x:c>
      <x:c r="B224" s="152" t="str">
        <x:v>假日</x:v>
      </x:c>
      <x:c r="C224" s="152" t="str">
        <x:v>55~64歲</x:v>
      </x:c>
      <x:c r="D224" s="40" t="n">
        <x:v>8201</x:v>
      </x:c>
      <x:c r="E224" s="40" t="n">
        <x:v>6436</x:v>
      </x:c>
      <x:c r="F224" s="153" t="n">
        <x:v>0</x:v>
      </x:c>
      <x:c r="G224" s="154" t="n">
        <x:f>SUM(D224:F224)</x:f>
        <x:v>14637</x:v>
      </x:c>
      <x:c r="H224" s="155" t="n">
        <x:f>IF(SUMIFS($D$7:$D$286,$A$7:$A$286,A224,$B$7:$B$286,B224)=0,"",D224/SUMIFS($D$7:$D$286,$A$7:$A$286,A224,$B$7:$B$286,B224))</x:f>
        <x:v>0.10366840268999343</x:v>
      </x:c>
      <x:c r="I224" s="155" t="n">
        <x:f>IF(SUMIFS($E$7:$E$286,$A$7:$A$286,A224,$B$7:$B$286,B224)=0,"",E224/SUMIFS($E$7:$E$286,$A$7:$A$286,A224,$B$7:$B$286,B224))</x:f>
        <x:v>0.10836841219060447</x:v>
      </x:c>
      <x:c r="J224" s="155" t="n">
        <x:f>IF(SUMIFS($F$7:$F$286,$A$7:$A$286,A224,$B$7:$B$286,B224)=0,"",F224/SUMIFS($F$7:$F$286,$A$7:$A$286,A224,$B$7:$B$286,B224))</x:f>
        <x:v>0</x:v>
      </x:c>
      <x:c r="K224" s="155" t="n">
        <x:f>IF(SUMIFS($G$7:$G$286,$A$7:$A$286,A224,$B$7:$B$286,B224)=0,"",G224/SUMIFS($G$7:$G$286,$A$7:$A$286,A224,$B$7:$B$286,B224))</x:f>
        <x:v>0.0468626936203728</x:v>
      </x:c>
      <x:c r="L224" s="1"/>
      <x:c r="M224" s="1"/>
      <x:c r="N224" s="1"/>
      <x:c r="O224" s="1"/>
      <x:c r="P224" s="1"/>
      <x:c r="Q224" s="1"/>
    </x:row>
    <x:row r="225">
      <x:c r="A225" s="151" t="n">
        <x:v>46143</x:v>
      </x:c>
      <x:c r="B225" s="152" t="str">
        <x:v>假日</x:v>
      </x:c>
      <x:c r="C225" s="152" t="str">
        <x:v>65~100歲</x:v>
      </x:c>
      <x:c r="D225" s="40" t="n">
        <x:v>13905</x:v>
      </x:c>
      <x:c r="E225" s="40" t="n">
        <x:v>4672</x:v>
      </x:c>
      <x:c r="F225" s="153" t="n">
        <x:v>0</x:v>
      </x:c>
      <x:c r="G225" s="154" t="n">
        <x:f>SUM(D225:F225)</x:f>
        <x:v>18577</x:v>
      </x:c>
      <x:c r="H225" s="155" t="n">
        <x:f>IF(SUMIFS($D$7:$D$286,$A$7:$A$286,A225,$B$7:$B$286,B225)=0,"",D225/SUMIFS($D$7:$D$286,$A$7:$A$286,A225,$B$7:$B$286,B225))</x:f>
        <x:v>0.17577236183445416</x:v>
      </x:c>
      <x:c r="I225" s="155" t="n">
        <x:f>IF(SUMIFS($E$7:$E$286,$A$7:$A$286,A225,$B$7:$B$286,B225)=0,"",E225/SUMIFS($E$7:$E$286,$A$7:$A$286,A225,$B$7:$B$286,B225))</x:f>
        <x:v>0.07866644216198013</x:v>
      </x:c>
      <x:c r="J225" s="155" t="n">
        <x:f>IF(SUMIFS($F$7:$F$286,$A$7:$A$286,A225,$B$7:$B$286,B225)=0,"",F225/SUMIFS($F$7:$F$286,$A$7:$A$286,A225,$B$7:$B$286,B225))</x:f>
        <x:v>0</x:v>
      </x:c>
      <x:c r="K225" s="155" t="n">
        <x:f>IF(SUMIFS($G$7:$G$286,$A$7:$A$286,A225,$B$7:$B$286,B225)=0,"",G225/SUMIFS($G$7:$G$286,$A$7:$A$286,A225,$B$7:$B$286,B225))</x:f>
        <x:v>0.05947723299758595</x:v>
      </x:c>
      <x:c r="L225" s="1"/>
      <x:c r="M225" s="1"/>
      <x:c r="N225" s="1"/>
      <x:c r="O225" s="1"/>
      <x:c r="P225" s="1"/>
      <x:c r="Q225" s="1"/>
    </x:row>
    <x:row r="226">
      <x:c r="A226" s="151" t="n">
        <x:v>46143</x:v>
      </x:c>
      <x:c r="B226" s="152" t="str">
        <x:v>假日</x:v>
      </x:c>
      <x:c r="C226" s="152" t="str">
        <x:v>未投保或資料有誤</x:v>
      </x:c>
      <x:c r="D226" s="40" t="n">
        <x:v>0</x:v>
      </x:c>
      <x:c r="E226" s="40" t="n">
        <x:v>0</x:v>
      </x:c>
      <x:c r="F226" s="153" t="n">
        <x:v>173840</x:v>
      </x:c>
      <x:c r="G226" s="154" t="n">
        <x:f>SUM(D226:F226)</x:f>
        <x:v>173840</x:v>
      </x:c>
      <x:c r="H226" s="155" t="n">
        <x:f>IF(SUMIFS($D$7:$D$286,$A$7:$A$286,A226,$B$7:$B$286,B226)=0,"",D226/SUMIFS($D$7:$D$286,$A$7:$A$286,A226,$B$7:$B$286,B226))</x:f>
        <x:v>0</x:v>
      </x:c>
      <x:c r="I226" s="155" t="n">
        <x:f>IF(SUMIFS($E$7:$E$286,$A$7:$A$286,A226,$B$7:$B$286,B226)=0,"",E226/SUMIFS($E$7:$E$286,$A$7:$A$286,A226,$B$7:$B$286,B226))</x:f>
        <x:v>0</x:v>
      </x:c>
      <x:c r="J226" s="155" t="n">
        <x:f>IF(SUMIFS($F$7:$F$286,$A$7:$A$286,A226,$B$7:$B$286,B226)=0,"",F226/SUMIFS($F$7:$F$286,$A$7:$A$286,A226,$B$7:$B$286,B226))</x:f>
        <x:v>1</x:v>
      </x:c>
      <x:c r="K226" s="155" t="n">
        <x:f>IF(SUMIFS($G$7:$G$286,$A$7:$A$286,A226,$B$7:$B$286,B226)=0,"",G226/SUMIFS($G$7:$G$286,$A$7:$A$286,A226,$B$7:$B$286,B226))</x:f>
        <x:v>0.556576529272775</x:v>
      </x:c>
      <x:c r="L226" s="1"/>
      <x:c r="M226" s="1"/>
      <x:c r="N226" s="1"/>
      <x:c r="O226" s="1"/>
      <x:c r="P226" s="1"/>
      <x:c r="Q226" s="1"/>
    </x:row>
    <x:row r="227">
      <x:c r="A227" s="151" t="n">
        <x:v>46174</x:v>
      </x:c>
      <x:c r="B227" s="152" t="str">
        <x:v>平日</x:v>
      </x:c>
      <x:c r="C227" s="152" t="str">
        <x:v>08~11歲</x:v>
      </x:c>
      <x:c r="D227" s="40" t="n">
        <x:v>309</x:v>
      </x:c>
      <x:c r="E227" s="40" t="n">
        <x:v>109</x:v>
      </x:c>
      <x:c r="F227" s="153" t="n">
        <x:v>0</x:v>
      </x:c>
      <x:c r="G227" s="154" t="n">
        <x:f>SUM(D227:F227)</x:f>
        <x:v>418</x:v>
      </x:c>
      <x:c r="H227" s="155" t="n">
        <x:f>IF(SUMIFS($D$7:$D$286,$A$7:$A$286,A227,$B$7:$B$286,B227)=0,"",D227/SUMIFS($D$7:$D$286,$A$7:$A$286,A227,$B$7:$B$286,B227))</x:f>
        <x:v>0.002349756279324426</x:v>
      </x:c>
      <x:c r="I227" s="155" t="n">
        <x:f>IF(SUMIFS($E$7:$E$286,$A$7:$A$286,A227,$B$7:$B$286,B227)=0,"",E227/SUMIFS($E$7:$E$286,$A$7:$A$286,A227,$B$7:$B$286,B227))</x:f>
        <x:v>0.0011262192097867417</x:v>
      </x:c>
      <x:c r="J227" s="155" t="n">
        <x:f>IF(SUMIFS($F$7:$F$286,$A$7:$A$286,A227,$B$7:$B$286,B227)=0,"",F227/SUMIFS($F$7:$F$286,$A$7:$A$286,A227,$B$7:$B$286,B227))</x:f>
        <x:v>0</x:v>
      </x:c>
      <x:c r="K227" s="155" t="n">
        <x:f>IF(SUMIFS($G$7:$G$286,$A$7:$A$286,A227,$B$7:$B$286,B227)=0,"",G227/SUMIFS($G$7:$G$286,$A$7:$A$286,A227,$B$7:$B$286,B227))</x:f>
        <x:v>0.0008039559247512641</x:v>
      </x:c>
      <x:c r="L227" s="1"/>
      <x:c r="M227" s="1"/>
      <x:c r="N227" s="1"/>
      <x:c r="O227" s="1"/>
      <x:c r="P227" s="1"/>
      <x:c r="Q227" s="1"/>
    </x:row>
    <x:row r="228">
      <x:c r="A228" s="151" t="n">
        <x:v>46174</x:v>
      </x:c>
      <x:c r="B228" s="152" t="str">
        <x:v>平日</x:v>
      </x:c>
      <x:c r="C228" s="152" t="str">
        <x:v>12~14歲</x:v>
      </x:c>
      <x:c r="D228" s="40" t="n">
        <x:v>3718</x:v>
      </x:c>
      <x:c r="E228" s="40" t="n">
        <x:v>1048</x:v>
      </x:c>
      <x:c r="F228" s="153" t="n">
        <x:v>0</x:v>
      </x:c>
      <x:c r="G228" s="154" t="n">
        <x:f>SUM(D228:F228)</x:f>
        <x:v>4766</x:v>
      </x:c>
      <x:c r="H228" s="155" t="n">
        <x:f>IF(SUMIFS($D$7:$D$286,$A$7:$A$286,A228,$B$7:$B$286,B228)=0,"",D228/SUMIFS($D$7:$D$286,$A$7:$A$286,A228,$B$7:$B$286,B228))</x:f>
        <x:v>0.028273119244427884</x:v>
      </x:c>
      <x:c r="I228" s="155" t="n">
        <x:f>IF(SUMIFS($E$7:$E$286,$A$7:$A$286,A228,$B$7:$B$286,B228)=0,"",E228/SUMIFS($E$7:$E$286,$A$7:$A$286,A228,$B$7:$B$286,B228))</x:f>
        <x:v>0.010828236072078029</x:v>
      </x:c>
      <x:c r="J228" s="155" t="n">
        <x:f>IF(SUMIFS($F$7:$F$286,$A$7:$A$286,A228,$B$7:$B$286,B228)=0,"",F228/SUMIFS($F$7:$F$286,$A$7:$A$286,A228,$B$7:$B$286,B228))</x:f>
        <x:v>0</x:v>
      </x:c>
      <x:c r="K228" s="155" t="n">
        <x:f>IF(SUMIFS($G$7:$G$286,$A$7:$A$286,A228,$B$7:$B$286,B228)=0,"",G228/SUMIFS($G$7:$G$286,$A$7:$A$286,A228,$B$7:$B$286,B228))</x:f>
        <x:v>0.009166636213790729</x:v>
      </x:c>
      <x:c r="L228" s="1"/>
      <x:c r="M228" s="1"/>
      <x:c r="N228" s="1"/>
      <x:c r="O228" s="1"/>
      <x:c r="P228" s="1"/>
      <x:c r="Q228" s="1"/>
    </x:row>
    <x:row r="229">
      <x:c r="A229" s="151" t="n">
        <x:v>46174</x:v>
      </x:c>
      <x:c r="B229" s="152" t="str">
        <x:v>平日</x:v>
      </x:c>
      <x:c r="C229" s="152" t="str">
        <x:v>15~17歲</x:v>
      </x:c>
      <x:c r="D229" s="40" t="n">
        <x:v>6922</x:v>
      </x:c>
      <x:c r="E229" s="40" t="n">
        <x:v>2461</x:v>
      </x:c>
      <x:c r="F229" s="153" t="n">
        <x:v>0</x:v>
      </x:c>
      <x:c r="G229" s="154" t="n">
        <x:f>SUM(D229:F229)</x:f>
        <x:v>9383</x:v>
      </x:c>
      <x:c r="H229" s="155" t="n">
        <x:f>IF(SUMIFS($D$7:$D$286,$A$7:$A$286,A229,$B$7:$B$286,B229)=0,"",D229/SUMIFS($D$7:$D$286,$A$7:$A$286,A229,$B$7:$B$286,B229))</x:f>
        <x:v>0.05263758241256854</x:v>
      </x:c>
      <x:c r="I229" s="155" t="n">
        <x:f>IF(SUMIFS($E$7:$E$286,$A$7:$A$286,A229,$B$7:$B$286,B229)=0,"",E229/SUMIFS($E$7:$E$286,$A$7:$A$286,A229,$B$7:$B$286,B229))</x:f>
        <x:v>0.025427756653992394</x:v>
      </x:c>
      <x:c r="J229" s="155" t="n">
        <x:f>IF(SUMIFS($F$7:$F$286,$A$7:$A$286,A229,$B$7:$B$286,B229)=0,"",F229/SUMIFS($F$7:$F$286,$A$7:$A$286,A229,$B$7:$B$286,B229))</x:f>
        <x:v>0</x:v>
      </x:c>
      <x:c r="K229" s="155" t="n">
        <x:f>IF(SUMIFS($G$7:$G$286,$A$7:$A$286,A229,$B$7:$B$286,B229)=0,"",G229/SUMIFS($G$7:$G$286,$A$7:$A$286,A229,$B$7:$B$286,B229))</x:f>
        <x:v>0.018046694837179692</x:v>
      </x:c>
      <x:c r="L229" s="1"/>
      <x:c r="M229" s="1"/>
      <x:c r="N229" s="1"/>
      <x:c r="O229" s="1"/>
      <x:c r="P229" s="1"/>
      <x:c r="Q229" s="1"/>
    </x:row>
    <x:row r="230">
      <x:c r="A230" s="151" t="n">
        <x:v>46174</x:v>
      </x:c>
      <x:c r="B230" s="152" t="str">
        <x:v>平日</x:v>
      </x:c>
      <x:c r="C230" s="152" t="str">
        <x:v>18~24歲</x:v>
      </x:c>
      <x:c r="D230" s="40" t="n">
        <x:v>12865</x:v>
      </x:c>
      <x:c r="E230" s="40" t="n">
        <x:v>9178</x:v>
      </x:c>
      <x:c r="F230" s="153" t="n">
        <x:v>0</x:v>
      </x:c>
      <x:c r="G230" s="154" t="n">
        <x:f>SUM(D230:F230)</x:f>
        <x:v>22043</x:v>
      </x:c>
      <x:c r="H230" s="155" t="n">
        <x:f>IF(SUMIFS($D$7:$D$286,$A$7:$A$286,A230,$B$7:$B$286,B230)=0,"",D230/SUMIFS($D$7:$D$286,$A$7:$A$286,A230,$B$7:$B$286,B230))</x:f>
        <x:v>0.09783046774598299</x:v>
      </x:c>
      <x:c r="I230" s="155" t="n">
        <x:f>IF(SUMIFS($E$7:$E$286,$A$7:$A$286,A230,$B$7:$B$286,B230)=0,"",E230/SUMIFS($E$7:$E$286,$A$7:$A$286,A230,$B$7:$B$286,B230))</x:f>
        <x:v>0.09482972392130931</x:v>
      </x:c>
      <x:c r="J230" s="155" t="n">
        <x:f>IF(SUMIFS($F$7:$F$286,$A$7:$A$286,A230,$B$7:$B$286,B230)=0,"",F230/SUMIFS($F$7:$F$286,$A$7:$A$286,A230,$B$7:$B$286,B230))</x:f>
        <x:v>0</x:v>
      </x:c>
      <x:c r="K230" s="155" t="n">
        <x:f>IF(SUMIFS($G$7:$G$286,$A$7:$A$286,A230,$B$7:$B$286,B230)=0,"",G230/SUMIFS($G$7:$G$286,$A$7:$A$286,A230,$B$7:$B$286,B230))</x:f>
        <x:v>0.04239617332366535</x:v>
      </x:c>
      <x:c r="L230" s="1"/>
      <x:c r="M230" s="1"/>
      <x:c r="N230" s="1"/>
      <x:c r="O230" s="1"/>
      <x:c r="P230" s="1"/>
      <x:c r="Q230" s="1"/>
    </x:row>
    <x:row r="231">
      <x:c r="A231" s="151" t="n">
        <x:v>46174</x:v>
      </x:c>
      <x:c r="B231" s="152" t="str">
        <x:v>平日</x:v>
      </x:c>
      <x:c r="C231" s="152" t="str">
        <x:v>25~34歲</x:v>
      </x:c>
      <x:c r="D231" s="40" t="n">
        <x:v>27042</x:v>
      </x:c>
      <x:c r="E231" s="40" t="n">
        <x:v>23667</x:v>
      </x:c>
      <x:c r="F231" s="153" t="n">
        <x:v>0</x:v>
      </x:c>
      <x:c r="G231" s="154" t="n">
        <x:f>SUM(D231:F231)</x:f>
        <x:v>50709</x:v>
      </x:c>
      <x:c r="H231" s="155" t="n">
        <x:f>IF(SUMIFS($D$7:$D$286,$A$7:$A$286,A231,$B$7:$B$286,B231)=0,"",D231/SUMIFS($D$7:$D$286,$A$7:$A$286,A231,$B$7:$B$286,B231))</x:f>
        <x:v>0.20563789419252793</x:v>
      </x:c>
      <x:c r="I231" s="155" t="n">
        <x:f>IF(SUMIFS($E$7:$E$286,$A$7:$A$286,A231,$B$7:$B$286,B231)=0,"",E231/SUMIFS($E$7:$E$286,$A$7:$A$286,A231,$B$7:$B$286,B231))</x:f>
        <x:v>0.24453422053231938</x:v>
      </x:c>
      <x:c r="J231" s="155" t="n">
        <x:f>IF(SUMIFS($F$7:$F$286,$A$7:$A$286,A231,$B$7:$B$286,B231)=0,"",F231/SUMIFS($F$7:$F$286,$A$7:$A$286,A231,$B$7:$B$286,B231))</x:f>
        <x:v>0</x:v>
      </x:c>
      <x:c r="K231" s="155" t="n">
        <x:f>IF(SUMIFS($G$7:$G$286,$A$7:$A$286,A231,$B$7:$B$286,B231)=0,"",G231/SUMIFS($G$7:$G$286,$A$7:$A$286,A231,$B$7:$B$286,B231))</x:f>
        <x:v>0.09753062437371257</x:v>
      </x:c>
      <x:c r="L231" s="1"/>
      <x:c r="M231" s="1"/>
      <x:c r="N231" s="1"/>
      <x:c r="O231" s="1"/>
      <x:c r="P231" s="1"/>
      <x:c r="Q231" s="1"/>
    </x:row>
    <x:row r="232">
      <x:c r="A232" s="151" t="n">
        <x:v>46174</x:v>
      </x:c>
      <x:c r="B232" s="152" t="str">
        <x:v>平日</x:v>
      </x:c>
      <x:c r="C232" s="152" t="str">
        <x:v>35~44歲</x:v>
      </x:c>
      <x:c r="D232" s="40" t="n">
        <x:v>24156</x:v>
      </x:c>
      <x:c r="E232" s="40" t="n">
        <x:v>23142</x:v>
      </x:c>
      <x:c r="F232" s="153" t="n">
        <x:v>0</x:v>
      </x:c>
      <x:c r="G232" s="154" t="n">
        <x:f>SUM(D232:F232)</x:f>
        <x:v>47298</x:v>
      </x:c>
      <x:c r="H232" s="155" t="n">
        <x:f>IF(SUMIFS($D$7:$D$286,$A$7:$A$286,A232,$B$7:$B$286,B232)=0,"",D232/SUMIFS($D$7:$D$286,$A$7:$A$286,A232,$B$7:$B$286,B232))</x:f>
        <x:v>0.183691626806993</x:v>
      </x:c>
      <x:c r="I232" s="155" t="n">
        <x:f>IF(SUMIFS($E$7:$E$286,$A$7:$A$286,A232,$B$7:$B$286,B232)=0,"",E232/SUMIFS($E$7:$E$286,$A$7:$A$286,A232,$B$7:$B$286,B232))</x:f>
        <x:v>0.23910977020995205</x:v>
      </x:c>
      <x:c r="J232" s="155" t="n">
        <x:f>IF(SUMIFS($F$7:$F$286,$A$7:$A$286,A232,$B$7:$B$286,B232)=0,"",F232/SUMIFS($F$7:$F$286,$A$7:$A$286,A232,$B$7:$B$286,B232))</x:f>
        <x:v>0</x:v>
      </x:c>
      <x:c r="K232" s="155" t="n">
        <x:f>IF(SUMIFS($G$7:$G$286,$A$7:$A$286,A232,$B$7:$B$286,B232)=0,"",G232/SUMIFS($G$7:$G$286,$A$7:$A$286,A232,$B$7:$B$286,B232))</x:f>
        <x:v>0.0909701132269983</x:v>
      </x:c>
      <x:c r="L232" s="1"/>
      <x:c r="M232" s="1"/>
      <x:c r="N232" s="1"/>
      <x:c r="O232" s="1"/>
      <x:c r="P232" s="1"/>
      <x:c r="Q232" s="1"/>
    </x:row>
    <x:row r="233">
      <x:c r="A233" s="151" t="n">
        <x:v>46174</x:v>
      </x:c>
      <x:c r="B233" s="152" t="str">
        <x:v>平日</x:v>
      </x:c>
      <x:c r="C233" s="152" t="str">
        <x:v>45~54歲</x:v>
      </x:c>
      <x:c r="D233" s="40" t="n">
        <x:v>20294</x:v>
      </x:c>
      <x:c r="E233" s="40" t="n">
        <x:v>19667</x:v>
      </x:c>
      <x:c r="F233" s="153" t="n">
        <x:v>0</x:v>
      </x:c>
      <x:c r="G233" s="154" t="n">
        <x:f>SUM(D233:F233)</x:f>
        <x:v>39961</x:v>
      </x:c>
      <x:c r="H233" s="155" t="n">
        <x:f>IF(SUMIFS($D$7:$D$286,$A$7:$A$286,A233,$B$7:$B$286,B233)=0,"",D233/SUMIFS($D$7:$D$286,$A$7:$A$286,A233,$B$7:$B$286,B233))</x:f>
        <x:v>0.15432347551006442</x:v>
      </x:c>
      <x:c r="I233" s="155" t="n">
        <x:f>IF(SUMIFS($E$7:$E$286,$A$7:$A$286,A233,$B$7:$B$286,B233)=0,"",E233/SUMIFS($E$7:$E$286,$A$7:$A$286,A233,$B$7:$B$286,B233))</x:f>
        <x:v>0.20320507521904446</x:v>
      </x:c>
      <x:c r="J233" s="155" t="n">
        <x:f>IF(SUMIFS($F$7:$F$286,$A$7:$A$286,A233,$B$7:$B$286,B233)=0,"",F233/SUMIFS($F$7:$F$286,$A$7:$A$286,A233,$B$7:$B$286,B233))</x:f>
        <x:v>0</x:v>
      </x:c>
      <x:c r="K233" s="155" t="n">
        <x:f>IF(SUMIFS($G$7:$G$286,$A$7:$A$286,A233,$B$7:$B$286,B233)=0,"",G233/SUMIFS($G$7:$G$286,$A$7:$A$286,A233,$B$7:$B$286,B233))</x:f>
        <x:v>0.07685857107412743</x:v>
      </x:c>
      <x:c r="L233" s="1"/>
      <x:c r="M233" s="1"/>
      <x:c r="N233" s="1"/>
      <x:c r="O233" s="1"/>
      <x:c r="P233" s="1"/>
      <x:c r="Q233" s="1"/>
    </x:row>
    <x:row r="234">
      <x:c r="A234" s="151" t="n">
        <x:v>46174</x:v>
      </x:c>
      <x:c r="B234" s="152" t="str">
        <x:v>平日</x:v>
      </x:c>
      <x:c r="C234" s="152" t="str">
        <x:v>55~64歲</x:v>
      </x:c>
      <x:c r="D234" s="40" t="n">
        <x:v>12542</x:v>
      </x:c>
      <x:c r="E234" s="40" t="n">
        <x:v>9723</x:v>
      </x:c>
      <x:c r="F234" s="153" t="n">
        <x:v>0</x:v>
      </x:c>
      <x:c r="G234" s="154" t="n">
        <x:f>SUM(D234:F234)</x:f>
        <x:v>22265</x:v>
      </x:c>
      <x:c r="H234" s="155" t="n">
        <x:f>IF(SUMIFS($D$7:$D$286,$A$7:$A$286,A234,$B$7:$B$286,B234)=0,"",D234/SUMIFS($D$7:$D$286,$A$7:$A$286,A234,$B$7:$B$286,B234))</x:f>
        <x:v>0.09537425001710988</x:v>
      </x:c>
      <x:c r="I234" s="155" t="n">
        <x:f>IF(SUMIFS($E$7:$E$286,$A$7:$A$286,A234,$B$7:$B$286,B234)=0,"",E234/SUMIFS($E$7:$E$286,$A$7:$A$286,A234,$B$7:$B$286,B234))</x:f>
        <x:v>0.10046081997024302</x:v>
      </x:c>
      <x:c r="J234" s="155" t="n">
        <x:f>IF(SUMIFS($F$7:$F$286,$A$7:$A$286,A234,$B$7:$B$286,B234)=0,"",F234/SUMIFS($F$7:$F$286,$A$7:$A$286,A234,$B$7:$B$286,B234))</x:f>
        <x:v>0</x:v>
      </x:c>
      <x:c r="K234" s="155" t="n">
        <x:f>IF(SUMIFS($G$7:$G$286,$A$7:$A$286,A234,$B$7:$B$286,B234)=0,"",G234/SUMIFS($G$7:$G$286,$A$7:$A$286,A234,$B$7:$B$286,B234))</x:f>
        <x:v>0.04282315469996865</x:v>
      </x:c>
      <x:c r="L234" s="1"/>
      <x:c r="M234" s="1"/>
      <x:c r="N234" s="1"/>
      <x:c r="O234" s="1"/>
      <x:c r="P234" s="1"/>
      <x:c r="Q234" s="1"/>
    </x:row>
    <x:row r="235">
      <x:c r="A235" s="151" t="n">
        <x:v>46174</x:v>
      </x:c>
      <x:c r="B235" s="152" t="str">
        <x:v>平日</x:v>
      </x:c>
      <x:c r="C235" s="152" t="str">
        <x:v>65~100歲</x:v>
      </x:c>
      <x:c r="D235" s="40" t="n">
        <x:v>23655</x:v>
      </x:c>
      <x:c r="E235" s="40" t="n">
        <x:v>7789</x:v>
      </x:c>
      <x:c r="F235" s="153" t="n">
        <x:v>0</x:v>
      </x:c>
      <x:c r="G235" s="154" t="n">
        <x:f>SUM(D235:F235)</x:f>
        <x:v>31444</x:v>
      </x:c>
      <x:c r="H235" s="155" t="n">
        <x:f>IF(SUMIFS($D$7:$D$286,$A$7:$A$286,A235,$B$7:$B$286,B235)=0,"",D235/SUMIFS($D$7:$D$286,$A$7:$A$286,A235,$B$7:$B$286,B235))</x:f>
        <x:v>0.17988182779100095</x:v>
      </x:c>
      <x:c r="I235" s="155" t="n">
        <x:f>IF(SUMIFS($E$7:$E$286,$A$7:$A$286,A235,$B$7:$B$286,B235)=0,"",E235/SUMIFS($E$7:$E$286,$A$7:$A$286,A235,$B$7:$B$286,B235))</x:f>
        <x:v>0.08047817821127459</x:v>
      </x:c>
      <x:c r="J235" s="155" t="n">
        <x:f>IF(SUMIFS($F$7:$F$286,$A$7:$A$286,A235,$B$7:$B$286,B235)=0,"",F235/SUMIFS($F$7:$F$286,$A$7:$A$286,A235,$B$7:$B$286,B235))</x:f>
        <x:v>0</x:v>
      </x:c>
      <x:c r="K235" s="155" t="n">
        <x:f>IF(SUMIFS($G$7:$G$286,$A$7:$A$286,A235,$B$7:$B$286,B235)=0,"",G235/SUMIFS($G$7:$G$286,$A$7:$A$286,A235,$B$7:$B$286,B235))</x:f>
        <x:v>0.0604774882724372</x:v>
      </x:c>
      <x:c r="L235" s="1"/>
      <x:c r="M235" s="1"/>
      <x:c r="N235" s="1"/>
      <x:c r="O235" s="1"/>
      <x:c r="P235" s="1"/>
      <x:c r="Q235" s="1"/>
    </x:row>
    <x:row r="236">
      <x:c r="A236" s="151" t="n">
        <x:v>46174</x:v>
      </x:c>
      <x:c r="B236" s="152" t="str">
        <x:v>平日</x:v>
      </x:c>
      <x:c r="C236" s="152" t="str">
        <x:v>未投保或資料有誤</x:v>
      </x:c>
      <x:c r="D236" s="40" t="n">
        <x:v>0</x:v>
      </x:c>
      <x:c r="E236" s="40" t="n">
        <x:v>0</x:v>
      </x:c>
      <x:c r="F236" s="153" t="n">
        <x:v>291642</x:v>
      </x:c>
      <x:c r="G236" s="154" t="n">
        <x:f>SUM(D236:F236)</x:f>
        <x:v>291642</x:v>
      </x:c>
      <x:c r="H236" s="155" t="n">
        <x:f>IF(SUMIFS($D$7:$D$286,$A$7:$A$286,A236,$B$7:$B$286,B236)=0,"",D236/SUMIFS($D$7:$D$286,$A$7:$A$286,A236,$B$7:$B$286,B236))</x:f>
        <x:v>0</x:v>
      </x:c>
      <x:c r="I236" s="155" t="n">
        <x:f>IF(SUMIFS($E$7:$E$286,$A$7:$A$286,A236,$B$7:$B$286,B236)=0,"",E236/SUMIFS($E$7:$E$286,$A$7:$A$286,A236,$B$7:$B$286,B236))</x:f>
        <x:v>0</x:v>
      </x:c>
      <x:c r="J236" s="155" t="n">
        <x:f>IF(SUMIFS($F$7:$F$286,$A$7:$A$286,A236,$B$7:$B$286,B236)=0,"",F236/SUMIFS($F$7:$F$286,$A$7:$A$286,A236,$B$7:$B$286,B236))</x:f>
        <x:v>1</x:v>
      </x:c>
      <x:c r="K236" s="155" t="n">
        <x:f>IF(SUMIFS($G$7:$G$286,$A$7:$A$286,A236,$B$7:$B$286,B236)=0,"",G236/SUMIFS($G$7:$G$286,$A$7:$A$286,A236,$B$7:$B$286,B236))</x:f>
        <x:v>0.5609265880533688</x:v>
      </x:c>
      <x:c r="L236" s="1"/>
      <x:c r="M236" s="1"/>
      <x:c r="N236" s="1"/>
      <x:c r="O236" s="1"/>
      <x:c r="P236" s="1"/>
      <x:c r="Q236" s="1"/>
    </x:row>
    <x:row r="237">
      <x:c r="A237" s="151" t="n">
        <x:v>46174</x:v>
      </x:c>
      <x:c r="B237" s="152" t="str">
        <x:v>假日</x:v>
      </x:c>
      <x:c r="C237" s="152" t="str">
        <x:v>08~11歲</x:v>
      </x:c>
      <x:c r="D237" s="40" t="n">
        <x:v>121</x:v>
      </x:c>
      <x:c r="E237" s="40" t="n">
        <x:v>56</x:v>
      </x:c>
      <x:c r="F237" s="153" t="n">
        <x:v>0</x:v>
      </x:c>
      <x:c r="G237" s="154" t="n">
        <x:f>SUM(D237:F237)</x:f>
        <x:v>177</x:v>
      </x:c>
      <x:c r="H237" s="155" t="n">
        <x:f>IF(SUMIFS($D$7:$D$286,$A$7:$A$286,A237,$B$7:$B$286,B237)=0,"",D237/SUMIFS($D$7:$D$286,$A$7:$A$286,A237,$B$7:$B$286,B237))</x:f>
        <x:v>0.002477934099240237</x:v>
      </x:c>
      <x:c r="I237" s="155" t="n">
        <x:f>IF(SUMIFS($E$7:$E$286,$A$7:$A$286,A237,$B$7:$B$286,B237)=0,"",E237/SUMIFS($E$7:$E$286,$A$7:$A$286,A237,$B$7:$B$286,B237))</x:f>
        <x:v>0.001667808321172231</x:v>
      </x:c>
      <x:c r="J237" s="155" t="n">
        <x:f>IF(SUMIFS($F$7:$F$286,$A$7:$A$286,A237,$B$7:$B$286,B237)=0,"",F237/SUMIFS($F$7:$F$286,$A$7:$A$286,A237,$B$7:$B$286,B237))</x:f>
        <x:v>0</x:v>
      </x:c>
      <x:c r="K237" s="155" t="n">
        <x:f>IF(SUMIFS($G$7:$G$286,$A$7:$A$286,A237,$B$7:$B$286,B237)=0,"",G237/SUMIFS($G$7:$G$286,$A$7:$A$286,A237,$B$7:$B$286,B237))</x:f>
        <x:v>0.000927012192567143</x:v>
      </x:c>
      <x:c r="L237" s="1"/>
      <x:c r="M237" s="1"/>
      <x:c r="N237" s="1"/>
      <x:c r="O237" s="1"/>
      <x:c r="P237" s="1"/>
      <x:c r="Q237" s="1"/>
    </x:row>
    <x:row r="238">
      <x:c r="A238" s="151" t="n">
        <x:v>46174</x:v>
      </x:c>
      <x:c r="B238" s="152" t="str">
        <x:v>假日</x:v>
      </x:c>
      <x:c r="C238" s="152" t="str">
        <x:v>12~14歲</x:v>
      </x:c>
      <x:c r="D238" s="40" t="n">
        <x:v>1014</x:v>
      </x:c>
      <x:c r="E238" s="40" t="n">
        <x:v>278</x:v>
      </x:c>
      <x:c r="F238" s="153" t="n">
        <x:v>0</x:v>
      </x:c>
      <x:c r="G238" s="154" t="n">
        <x:f>SUM(D238:F238)</x:f>
        <x:v>1292</x:v>
      </x:c>
      <x:c r="H238" s="155" t="n">
        <x:f>IF(SUMIFS($D$7:$D$286,$A$7:$A$286,A238,$B$7:$B$286,B238)=0,"",D238/SUMIFS($D$7:$D$286,$A$7:$A$286,A238,$B$7:$B$286,B238))</x:f>
        <x:v>0.020765497327517354</x:v>
      </x:c>
      <x:c r="I238" s="155" t="n">
        <x:f>IF(SUMIFS($E$7:$E$286,$A$7:$A$286,A238,$B$7:$B$286,B238)=0,"",E238/SUMIFS($E$7:$E$286,$A$7:$A$286,A238,$B$7:$B$286,B238))</x:f>
        <x:v>0.008279477022962146</x:v>
      </x:c>
      <x:c r="J238" s="155" t="n">
        <x:f>IF(SUMIFS($F$7:$F$286,$A$7:$A$286,A238,$B$7:$B$286,B238)=0,"",F238/SUMIFS($F$7:$F$286,$A$7:$A$286,A238,$B$7:$B$286,B238))</x:f>
        <x:v>0</x:v>
      </x:c>
      <x:c r="K238" s="155" t="n">
        <x:f>IF(SUMIFS($G$7:$G$286,$A$7:$A$286,A238,$B$7:$B$286,B238)=0,"",G238/SUMIFS($G$7:$G$286,$A$7:$A$286,A238,$B$7:$B$286,B238))</x:f>
        <x:v>0.006766665270038128</x:v>
      </x:c>
      <x:c r="L238" s="1"/>
      <x:c r="M238" s="1"/>
      <x:c r="N238" s="1"/>
      <x:c r="O238" s="1"/>
      <x:c r="P238" s="1"/>
      <x:c r="Q238" s="1"/>
    </x:row>
    <x:row r="239">
      <x:c r="A239" s="151" t="n">
        <x:v>46174</x:v>
      </x:c>
      <x:c r="B239" s="152" t="str">
        <x:v>假日</x:v>
      </x:c>
      <x:c r="C239" s="152" t="str">
        <x:v>15~17歲</x:v>
      </x:c>
      <x:c r="D239" s="40" t="n">
        <x:v>1804</x:v>
      </x:c>
      <x:c r="E239" s="40" t="n">
        <x:v>660</x:v>
      </x:c>
      <x:c r="F239" s="153" t="n">
        <x:v>0</x:v>
      </x:c>
      <x:c r="G239" s="154" t="n">
        <x:f>SUM(D239:F239)</x:f>
        <x:v>2464</x:v>
      </x:c>
      <x:c r="H239" s="155" t="n">
        <x:f>IF(SUMIFS($D$7:$D$286,$A$7:$A$286,A239,$B$7:$B$286,B239)=0,"",D239/SUMIFS($D$7:$D$286,$A$7:$A$286,A239,$B$7:$B$286,B239))</x:f>
        <x:v>0.036943744752308987</x:v>
      </x:c>
      <x:c r="I239" s="155" t="n">
        <x:f>IF(SUMIFS($E$7:$E$286,$A$7:$A$286,A239,$B$7:$B$286,B239)=0,"",E239/SUMIFS($E$7:$E$286,$A$7:$A$286,A239,$B$7:$B$286,B239))</x:f>
        <x:v>0.01965631235667272</x:v>
      </x:c>
      <x:c r="J239" s="155" t="n">
        <x:f>IF(SUMIFS($F$7:$F$286,$A$7:$A$286,A239,$B$7:$B$286,B239)=0,"",F239/SUMIFS($F$7:$F$286,$A$7:$A$286,A239,$B$7:$B$286,B239))</x:f>
        <x:v>0</x:v>
      </x:c>
      <x:c r="K239" s="155" t="n">
        <x:f>IF(SUMIFS($G$7:$G$286,$A$7:$A$286,A239,$B$7:$B$286,B239)=0,"",G239/SUMIFS($G$7:$G$286,$A$7:$A$286,A239,$B$7:$B$286,B239))</x:f>
        <x:v>0.012904847697657854</x:v>
      </x:c>
      <x:c r="L239" s="1"/>
      <x:c r="M239" s="1"/>
      <x:c r="N239" s="1"/>
      <x:c r="O239" s="1"/>
      <x:c r="P239" s="1"/>
      <x:c r="Q239" s="1"/>
    </x:row>
    <x:row r="240">
      <x:c r="A240" s="151" t="n">
        <x:v>46174</x:v>
      </x:c>
      <x:c r="B240" s="152" t="str">
        <x:v>假日</x:v>
      </x:c>
      <x:c r="C240" s="152" t="str">
        <x:v>18~24歲</x:v>
      </x:c>
      <x:c r="D240" s="40" t="n">
        <x:v>4430</x:v>
      </x:c>
      <x:c r="E240" s="40" t="n">
        <x:v>3113</x:v>
      </x:c>
      <x:c r="F240" s="153" t="n">
        <x:v>0</x:v>
      </x:c>
      <x:c r="G240" s="154" t="n">
        <x:f>SUM(D240:F240)</x:f>
        <x:v>7543</x:v>
      </x:c>
      <x:c r="H240" s="155" t="n">
        <x:f>IF(SUMIFS($D$7:$D$286,$A$7:$A$286,A240,$B$7:$B$286,B240)=0,"",D240/SUMIFS($D$7:$D$286,$A$7:$A$286,A240,$B$7:$B$286,B240))</x:f>
        <x:v>0.0907210583440847</x:v>
      </x:c>
      <x:c r="I240" s="155" t="n">
        <x:f>IF(SUMIFS($E$7:$E$286,$A$7:$A$286,A240,$B$7:$B$286,B240)=0,"",E240/SUMIFS($E$7:$E$286,$A$7:$A$286,A240,$B$7:$B$286,B240))</x:f>
        <x:v>0.09271227328230634</x:v>
      </x:c>
      <x:c r="J240" s="155" t="n">
        <x:f>IF(SUMIFS($F$7:$F$286,$A$7:$A$286,A240,$B$7:$B$286,B240)=0,"",F240/SUMIFS($F$7:$F$286,$A$7:$A$286,A240,$B$7:$B$286,B240))</x:f>
        <x:v>0</x:v>
      </x:c>
      <x:c r="K240" s="155" t="n">
        <x:f>IF(SUMIFS($G$7:$G$286,$A$7:$A$286,A240,$B$7:$B$286,B240)=0,"",G240/SUMIFS($G$7:$G$286,$A$7:$A$286,A240,$B$7:$B$286,B240))</x:f>
        <x:v>0.039505384003016716</x:v>
      </x:c>
      <x:c r="L240" s="1"/>
      <x:c r="M240" s="1"/>
      <x:c r="N240" s="1"/>
      <x:c r="O240" s="1"/>
      <x:c r="P240" s="1"/>
      <x:c r="Q240" s="1"/>
    </x:row>
    <x:row r="241">
      <x:c r="A241" s="151" t="n">
        <x:v>46174</x:v>
      </x:c>
      <x:c r="B241" s="152" t="str">
        <x:v>假日</x:v>
      </x:c>
      <x:c r="C241" s="152" t="str">
        <x:v>25~34歲</x:v>
      </x:c>
      <x:c r="D241" s="40" t="n">
        <x:v>9808</x:v>
      </x:c>
      <x:c r="E241" s="40" t="n">
        <x:v>7822</x:v>
      </x:c>
      <x:c r="F241" s="153" t="n">
        <x:v>0</x:v>
      </x:c>
      <x:c r="G241" s="154" t="n">
        <x:f>SUM(D241:F241)</x:f>
        <x:v>17630</x:v>
      </x:c>
      <x:c r="H241" s="155" t="n">
        <x:f>IF(SUMIFS($D$7:$D$286,$A$7:$A$286,A241,$B$7:$B$286,B241)=0,"",D241/SUMIFS($D$7:$D$286,$A$7:$A$286,A241,$B$7:$B$286,B241))</x:f>
        <x:v>0.20085601359791935</x:v>
      </x:c>
      <x:c r="I241" s="155" t="n">
        <x:f>IF(SUMIFS($E$7:$E$286,$A$7:$A$286,A241,$B$7:$B$286,B241)=0,"",E241/SUMIFS($E$7:$E$286,$A$7:$A$286,A241,$B$7:$B$286,B241))</x:f>
        <x:v>0.23295708371802126</x:v>
      </x:c>
      <x:c r="J241" s="155" t="n">
        <x:f>IF(SUMIFS($F$7:$F$286,$A$7:$A$286,A241,$B$7:$B$286,B241)=0,"",F241/SUMIFS($F$7:$F$286,$A$7:$A$286,A241,$B$7:$B$286,B241))</x:f>
        <x:v>0</x:v>
      </x:c>
      <x:c r="K241" s="155" t="n">
        <x:f>IF(SUMIFS($G$7:$G$286,$A$7:$A$286,A241,$B$7:$B$286,B241)=0,"",G241/SUMIFS($G$7:$G$286,$A$7:$A$286,A241,$B$7:$B$286,B241))</x:f>
        <x:v>0.09233460426530356</x:v>
      </x:c>
      <x:c r="L241" s="1"/>
      <x:c r="M241" s="1"/>
      <x:c r="N241" s="1"/>
      <x:c r="O241" s="1"/>
      <x:c r="P241" s="1"/>
      <x:c r="Q241" s="1"/>
    </x:row>
    <x:row r="242">
      <x:c r="A242" s="151" t="n">
        <x:v>46174</x:v>
      </x:c>
      <x:c r="B242" s="152" t="str">
        <x:v>假日</x:v>
      </x:c>
      <x:c r="C242" s="152" t="str">
        <x:v>35~44歲</x:v>
      </x:c>
      <x:c r="D242" s="40" t="n">
        <x:v>9178</x:v>
      </x:c>
      <x:c r="E242" s="40" t="n">
        <x:v>7455</x:v>
      </x:c>
      <x:c r="F242" s="153" t="n">
        <x:v>0</x:v>
      </x:c>
      <x:c r="G242" s="154" t="n">
        <x:f>SUM(D242:F242)</x:f>
        <x:v>16633</x:v>
      </x:c>
      <x:c r="H242" s="155" t="n">
        <x:f>IF(SUMIFS($D$7:$D$286,$A$7:$A$286,A242,$B$7:$B$286,B242)=0,"",D242/SUMIFS($D$7:$D$286,$A$7:$A$286,A242,$B$7:$B$286,B242))</x:f>
        <x:v>0.18795437324650324</x:v>
      </x:c>
      <x:c r="I242" s="155" t="n">
        <x:f>IF(SUMIFS($E$7:$E$286,$A$7:$A$286,A242,$B$7:$B$286,B242)=0,"",E242/SUMIFS($E$7:$E$286,$A$7:$A$286,A242,$B$7:$B$286,B242))</x:f>
        <x:v>0.22202698275605326</x:v>
      </x:c>
      <x:c r="J242" s="155" t="n">
        <x:f>IF(SUMIFS($F$7:$F$286,$A$7:$A$286,A242,$B$7:$B$286,B242)=0,"",F242/SUMIFS($F$7:$F$286,$A$7:$A$286,A242,$B$7:$B$286,B242))</x:f>
        <x:v>0</x:v>
      </x:c>
      <x:c r="K242" s="155" t="n">
        <x:f>IF(SUMIFS($G$7:$G$286,$A$7:$A$286,A242,$B$7:$B$286,B242)=0,"",G242/SUMIFS($G$7:$G$286,$A$7:$A$286,A242,$B$7:$B$286,B242))</x:f>
        <x:v>0.08711295931621067</x:v>
      </x:c>
      <x:c r="L242" s="1"/>
      <x:c r="M242" s="1"/>
      <x:c r="N242" s="1"/>
      <x:c r="O242" s="1"/>
      <x:c r="P242" s="1"/>
      <x:c r="Q242" s="1"/>
    </x:row>
    <x:row r="243">
      <x:c r="A243" s="151" t="n">
        <x:v>46174</x:v>
      </x:c>
      <x:c r="B243" s="152" t="str">
        <x:v>假日</x:v>
      </x:c>
      <x:c r="C243" s="152" t="str">
        <x:v>45~54歲</x:v>
      </x:c>
      <x:c r="D243" s="40" t="n">
        <x:v>8097</x:v>
      </x:c>
      <x:c r="E243" s="40" t="n">
        <x:v>7509</x:v>
      </x:c>
      <x:c r="F243" s="153" t="n">
        <x:v>0</x:v>
      </x:c>
      <x:c r="G243" s="154" t="n">
        <x:f>SUM(D243:F243)</x:f>
        <x:v>15606</x:v>
      </x:c>
      <x:c r="H243" s="155" t="n">
        <x:f>IF(SUMIFS($D$7:$D$286,$A$7:$A$286,A243,$B$7:$B$286,B243)=0,"",D243/SUMIFS($D$7:$D$286,$A$7:$A$286,A243,$B$7:$B$286,B243))</x:f>
        <x:v>0.16581679670700988</x:v>
      </x:c>
      <x:c r="I243" s="155" t="n">
        <x:f>IF(SUMIFS($E$7:$E$286,$A$7:$A$286,A243,$B$7:$B$286,B243)=0,"",E243/SUMIFS($E$7:$E$286,$A$7:$A$286,A243,$B$7:$B$286,B243))</x:f>
        <x:v>0.22363522649432646</x:v>
      </x:c>
      <x:c r="J243" s="155" t="n">
        <x:f>IF(SUMIFS($F$7:$F$286,$A$7:$A$286,A243,$B$7:$B$286,B243)=0,"",F243/SUMIFS($F$7:$F$286,$A$7:$A$286,A243,$B$7:$B$286,B243))</x:f>
        <x:v>0</x:v>
      </x:c>
      <x:c r="K243" s="155" t="n">
        <x:f>IF(SUMIFS($G$7:$G$286,$A$7:$A$286,A243,$B$7:$B$286,B243)=0,"",G243/SUMIFS($G$7:$G$286,$A$7:$A$286,A243,$B$7:$B$286,B243))</x:f>
        <x:v>0.08173419365651317</x:v>
      </x:c>
      <x:c r="L243" s="1"/>
      <x:c r="M243" s="1"/>
      <x:c r="N243" s="1"/>
      <x:c r="O243" s="1"/>
      <x:c r="P243" s="1"/>
      <x:c r="Q243" s="1"/>
    </x:row>
    <x:row r="244">
      <x:c r="A244" s="151" t="n">
        <x:v>46174</x:v>
      </x:c>
      <x:c r="B244" s="152" t="str">
        <x:v>假日</x:v>
      </x:c>
      <x:c r="C244" s="152" t="str">
        <x:v>55~64歲</x:v>
      </x:c>
      <x:c r="D244" s="40" t="n">
        <x:v>5126</x:v>
      </x:c>
      <x:c r="E244" s="40" t="n">
        <x:v>3792</x:v>
      </x:c>
      <x:c r="F244" s="153" t="n">
        <x:v>0</x:v>
      </x:c>
      <x:c r="G244" s="154" t="n">
        <x:f>SUM(D244:F244)</x:f>
        <x:v>8918</x:v>
      </x:c>
      <x:c r="H244" s="155" t="n">
        <x:f>IF(SUMIFS($D$7:$D$286,$A$7:$A$286,A244,$B$7:$B$286,B244)=0,"",D244/SUMIFS($D$7:$D$286,$A$7:$A$286,A244,$B$7:$B$286,B244))</x:f>
        <x:v>0.10497429911326821</x:v>
      </x:c>
      <x:c r="I244" s="155" t="n">
        <x:f>IF(SUMIFS($E$7:$E$286,$A$7:$A$286,A244,$B$7:$B$286,B244)=0,"",E244/SUMIFS($E$7:$E$286,$A$7:$A$286,A244,$B$7:$B$286,B244))</x:f>
        <x:v>0.11293444917651964</x:v>
      </x:c>
      <x:c r="J244" s="155" t="n">
        <x:f>IF(SUMIFS($F$7:$F$286,$A$7:$A$286,A244,$B$7:$B$286,B244)=0,"",F244/SUMIFS($F$7:$F$286,$A$7:$A$286,A244,$B$7:$B$286,B244))</x:f>
        <x:v>0</x:v>
      </x:c>
      <x:c r="K244" s="155" t="n">
        <x:f>IF(SUMIFS($G$7:$G$286,$A$7:$A$286,A244,$B$7:$B$286,B244)=0,"",G244/SUMIFS($G$7:$G$286,$A$7:$A$286,A244,$B$7:$B$286,B244))</x:f>
        <x:v>0.046706749905727575</x:v>
      </x:c>
      <x:c r="L244" s="1"/>
      <x:c r="M244" s="1"/>
      <x:c r="N244" s="1"/>
      <x:c r="O244" s="1"/>
      <x:c r="P244" s="1"/>
      <x:c r="Q244" s="1"/>
    </x:row>
    <x:row r="245">
      <x:c r="A245" s="151" t="n">
        <x:v>46174</x:v>
      </x:c>
      <x:c r="B245" s="152" t="str">
        <x:v>假日</x:v>
      </x:c>
      <x:c r="C245" s="152" t="str">
        <x:v>65~100歲</x:v>
      </x:c>
      <x:c r="D245" s="40" t="n">
        <x:v>9253</x:v>
      </x:c>
      <x:c r="E245" s="40" t="n">
        <x:v>2892</x:v>
      </x:c>
      <x:c r="F245" s="153" t="n">
        <x:v>0</x:v>
      </x:c>
      <x:c r="G245" s="154" t="n">
        <x:f>SUM(D245:F245)</x:f>
        <x:v>12145</x:v>
      </x:c>
      <x:c r="H245" s="155" t="n">
        <x:f>IF(SUMIFS($D$7:$D$286,$A$7:$A$286,A245,$B$7:$B$286,B245)=0,"",D245/SUMIFS($D$7:$D$286,$A$7:$A$286,A245,$B$7:$B$286,B245))</x:f>
        <x:v>0.18949028281214803</x:v>
      </x:c>
      <x:c r="I245" s="155" t="n">
        <x:f>IF(SUMIFS($E$7:$E$286,$A$7:$A$286,A245,$B$7:$B$286,B245)=0,"",E245/SUMIFS($E$7:$E$286,$A$7:$A$286,A245,$B$7:$B$286,B245))</x:f>
        <x:v>0.08613038687196593</x:v>
      </x:c>
      <x:c r="J245" s="155" t="n">
        <x:f>IF(SUMIFS($F$7:$F$286,$A$7:$A$286,A245,$B$7:$B$286,B245)=0,"",F245/SUMIFS($F$7:$F$286,$A$7:$A$286,A245,$B$7:$B$286,B245))</x:f>
        <x:v>0</x:v>
      </x:c>
      <x:c r="K245" s="155" t="n">
        <x:f>IF(SUMIFS($G$7:$G$286,$A$7:$A$286,A245,$B$7:$B$286,B245)=0,"",G245/SUMIFS($G$7:$G$286,$A$7:$A$286,A245,$B$7:$B$286,B245))</x:f>
        <x:v>0.06360770100976243</x:v>
      </x:c>
      <x:c r="L245" s="1"/>
      <x:c r="M245" s="1"/>
      <x:c r="N245" s="1"/>
      <x:c r="O245" s="1"/>
      <x:c r="P245" s="1"/>
      <x:c r="Q245" s="1"/>
    </x:row>
    <x:row r="246">
      <x:c r="A246" s="151" t="n">
        <x:v>46174</x:v>
      </x:c>
      <x:c r="B246" s="152" t="str">
        <x:v>假日</x:v>
      </x:c>
      <x:c r="C246" s="152" t="str">
        <x:v>未投保或資料有誤</x:v>
      </x:c>
      <x:c r="D246" s="40" t="n">
        <x:v>0</x:v>
      </x:c>
      <x:c r="E246" s="40" t="n">
        <x:v>0</x:v>
      </x:c>
      <x:c r="F246" s="153" t="n">
        <x:v>108528</x:v>
      </x:c>
      <x:c r="G246" s="154" t="n">
        <x:f>SUM(D246:F246)</x:f>
        <x:v>108528</x:v>
      </x:c>
      <x:c r="H246" s="155" t="n">
        <x:f>IF(SUMIFS($D$7:$D$286,$A$7:$A$286,A246,$B$7:$B$286,B246)=0,"",D246/SUMIFS($D$7:$D$286,$A$7:$A$286,A246,$B$7:$B$286,B246))</x:f>
        <x:v>0</x:v>
      </x:c>
      <x:c r="I246" s="155" t="n">
        <x:f>IF(SUMIFS($E$7:$E$286,$A$7:$A$286,A246,$B$7:$B$286,B246)=0,"",E246/SUMIFS($E$7:$E$286,$A$7:$A$286,A246,$B$7:$B$286,B246))</x:f>
        <x:v>0</x:v>
      </x:c>
      <x:c r="J246" s="155" t="n">
        <x:f>IF(SUMIFS($F$7:$F$286,$A$7:$A$286,A246,$B$7:$B$286,B246)=0,"",F246/SUMIFS($F$7:$F$286,$A$7:$A$286,A246,$B$7:$B$286,B246))</x:f>
        <x:v>1</x:v>
      </x:c>
      <x:c r="K246" s="155" t="n">
        <x:f>IF(SUMIFS($G$7:$G$286,$A$7:$A$286,A246,$B$7:$B$286,B246)=0,"",G246/SUMIFS($G$7:$G$286,$A$7:$A$286,A246,$B$7:$B$286,B246))</x:f>
        <x:v>0.5683998826832027</x:v>
      </x:c>
      <x:c r="L246" s="1"/>
      <x:c r="M246" s="1"/>
      <x:c r="N246" s="1"/>
      <x:c r="O246" s="1"/>
      <x:c r="P246" s="1"/>
      <x:c r="Q246" s="1"/>
    </x:row>
    <x:row r="247">
      <x:c r="A247" s="151" t="n">
        <x:v>46204</x:v>
      </x:c>
      <x:c r="B247" s="152" t="str">
        <x:v>平日</x:v>
      </x:c>
      <x:c r="C247" s="152" t="str">
        <x:v>08~11歲</x:v>
      </x:c>
      <x:c r="D247" s="40" t="n">
        <x:v>539</x:v>
      </x:c>
      <x:c r="E247" s="40" t="n">
        <x:v>141</x:v>
      </x:c>
      <x:c r="F247" s="153" t="n">
        <x:v>0</x:v>
      </x:c>
      <x:c r="G247" s="154" t="n">
        <x:f>SUM(D247:F247)</x:f>
        <x:v>680</x:v>
      </x:c>
      <x:c r="H247" s="155" t="n">
        <x:f>IF(SUMIFS($D$7:$D$286,$A$7:$A$286,A247,$B$7:$B$286,B247)=0,"",D247/SUMIFS($D$7:$D$286,$A$7:$A$286,A247,$B$7:$B$286,B247))</x:f>
        <x:v>0.0024315423828213108</x:v>
      </x:c>
      <x:c r="I247" s="155" t="n">
        <x:f>IF(SUMIFS($E$7:$E$286,$A$7:$A$286,A247,$B$7:$B$286,B247)=0,"",E247/SUMIFS($E$7:$E$286,$A$7:$A$286,A247,$B$7:$B$286,B247))</x:f>
        <x:v>0.0010219538888607026</x:v>
      </x:c>
      <x:c r="J247" s="155" t="n">
        <x:f>IF(SUMIFS($F$7:$F$286,$A$7:$A$286,A247,$B$7:$B$286,B247)=0,"",F247/SUMIFS($F$7:$F$286,$A$7:$A$286,A247,$B$7:$B$286,B247))</x:f>
        <x:v>0</x:v>
      </x:c>
      <x:c r="K247" s="155" t="n">
        <x:f>IF(SUMIFS($G$7:$G$286,$A$7:$A$286,A247,$B$7:$B$286,B247)=0,"",G247/SUMIFS($G$7:$G$286,$A$7:$A$286,A247,$B$7:$B$286,B247))</x:f>
        <x:v>0.0008469499215948565</x:v>
      </x:c>
      <x:c r="L247" s="1"/>
      <x:c r="M247" s="1"/>
      <x:c r="N247" s="1"/>
      <x:c r="O247" s="1"/>
      <x:c r="P247" s="1"/>
      <x:c r="Q247" s="1"/>
    </x:row>
    <x:row r="248">
      <x:c r="A248" s="151" t="n">
        <x:v>46204</x:v>
      </x:c>
      <x:c r="B248" s="152" t="str">
        <x:v>平日</x:v>
      </x:c>
      <x:c r="C248" s="152" t="str">
        <x:v>12~14歲</x:v>
      </x:c>
      <x:c r="D248" s="40" t="n">
        <x:v>4337</x:v>
      </x:c>
      <x:c r="E248" s="40" t="n">
        <x:v>1238</x:v>
      </x:c>
      <x:c r="F248" s="153" t="n">
        <x:v>0</x:v>
      </x:c>
      <x:c r="G248" s="154" t="n">
        <x:f>SUM(D248:F248)</x:f>
        <x:v>5575</x:v>
      </x:c>
      <x:c r="H248" s="155" t="n">
        <x:f>IF(SUMIFS($D$7:$D$286,$A$7:$A$286,A248,$B$7:$B$286,B248)=0,"",D248/SUMIFS($D$7:$D$286,$A$7:$A$286,A248,$B$7:$B$286,B248))</x:f>
        <x:v>0.019565119321513964</x:v>
      </x:c>
      <x:c r="I248" s="155" t="n">
        <x:f>IF(SUMIFS($E$7:$E$286,$A$7:$A$286,A248,$B$7:$B$286,B248)=0,"",E248/SUMIFS($E$7:$E$286,$A$7:$A$286,A248,$B$7:$B$286,B248))</x:f>
        <x:v>0.008972900102195388</x:v>
      </x:c>
      <x:c r="J248" s="155" t="n">
        <x:f>IF(SUMIFS($F$7:$F$286,$A$7:$A$286,A248,$B$7:$B$286,B248)=0,"",F248/SUMIFS($F$7:$F$286,$A$7:$A$286,A248,$B$7:$B$286,B248))</x:f>
        <x:v>0</x:v>
      </x:c>
      <x:c r="K248" s="155" t="n">
        <x:f>IF(SUMIFS($G$7:$G$286,$A$7:$A$286,A248,$B$7:$B$286,B248)=0,"",G248/SUMIFS($G$7:$G$286,$A$7:$A$286,A248,$B$7:$B$286,B248))</x:f>
        <x:v>0.006943743842487243</x:v>
      </x:c>
      <x:c r="L248" s="1"/>
      <x:c r="M248" s="1"/>
      <x:c r="N248" s="1"/>
      <x:c r="O248" s="1"/>
      <x:c r="P248" s="1"/>
      <x:c r="Q248" s="1"/>
    </x:row>
    <x:row r="249">
      <x:c r="A249" s="151" t="n">
        <x:v>46204</x:v>
      </x:c>
      <x:c r="B249" s="152" t="str">
        <x:v>平日</x:v>
      </x:c>
      <x:c r="C249" s="152" t="str">
        <x:v>15~17歲</x:v>
      </x:c>
      <x:c r="D249" s="40" t="n">
        <x:v>7865</x:v>
      </x:c>
      <x:c r="E249" s="40" t="n">
        <x:v>3049</x:v>
      </x:c>
      <x:c r="F249" s="153" t="n">
        <x:v>0</x:v>
      </x:c>
      <x:c r="G249" s="154" t="n">
        <x:f>SUM(D249:F249)</x:f>
        <x:v>10914</x:v>
      </x:c>
      <x:c r="H249" s="155" t="n">
        <x:f>IF(SUMIFS($D$7:$D$286,$A$7:$A$286,A249,$B$7:$B$286,B249)=0,"",D249/SUMIFS($D$7:$D$286,$A$7:$A$286,A249,$B$7:$B$286,B249))</x:f>
        <x:v>0.03548066946361709</x:v>
      </x:c>
      <x:c r="I249" s="155" t="n">
        <x:f>IF(SUMIFS($E$7:$E$286,$A$7:$A$286,A249,$B$7:$B$286,B249)=0,"",E249/SUMIFS($E$7:$E$286,$A$7:$A$286,A249,$B$7:$B$286,B249))</x:f>
        <x:v>0.02209884685912257</x:v>
      </x:c>
      <x:c r="J249" s="155" t="n">
        <x:f>IF(SUMIFS($F$7:$F$286,$A$7:$A$286,A249,$B$7:$B$286,B249)=0,"",F249/SUMIFS($F$7:$F$286,$A$7:$A$286,A249,$B$7:$B$286,B249))</x:f>
        <x:v>0</x:v>
      </x:c>
      <x:c r="K249" s="155" t="n">
        <x:f>IF(SUMIFS($G$7:$G$286,$A$7:$A$286,A249,$B$7:$B$286,B249)=0,"",G249/SUMIFS($G$7:$G$286,$A$7:$A$286,A249,$B$7:$B$286,B249))</x:f>
        <x:v>0.013593546241597447</x:v>
      </x:c>
      <x:c r="L249" s="1"/>
      <x:c r="M249" s="1"/>
      <x:c r="N249" s="1"/>
      <x:c r="O249" s="1"/>
      <x:c r="P249" s="1"/>
      <x:c r="Q249" s="1"/>
    </x:row>
    <x:row r="250">
      <x:c r="A250" s="151" t="n">
        <x:v>46204</x:v>
      </x:c>
      <x:c r="B250" s="152" t="str">
        <x:v>平日</x:v>
      </x:c>
      <x:c r="C250" s="152" t="str">
        <x:v>18~24歲</x:v>
      </x:c>
      <x:c r="D250" s="40" t="n">
        <x:v>16186</x:v>
      </x:c>
      <x:c r="E250" s="40" t="n">
        <x:v>11939</x:v>
      </x:c>
      <x:c r="F250" s="153" t="n">
        <x:v>0</x:v>
      </x:c>
      <x:c r="G250" s="154" t="n">
        <x:f>SUM(D250:F250)</x:f>
        <x:v>28125</x:v>
      </x:c>
      <x:c r="H250" s="155" t="n">
        <x:f>IF(SUMIFS($D$7:$D$286,$A$7:$A$286,A250,$B$7:$B$286,B250)=0,"",D250/SUMIFS($D$7:$D$286,$A$7:$A$286,A250,$B$7:$B$286,B250))</x:f>
        <x:v>0.07301845085036315</x:v>
      </x:c>
      <x:c r="I250" s="155" t="n">
        <x:f>IF(SUMIFS($E$7:$E$286,$A$7:$A$286,A250,$B$7:$B$286,B250)=0,"",E250/SUMIFS($E$7:$E$286,$A$7:$A$286,A250,$B$7:$B$286,B250))</x:f>
        <x:v>0.08653267715679382</x:v>
      </x:c>
      <x:c r="J250" s="155" t="n">
        <x:f>IF(SUMIFS($F$7:$F$286,$A$7:$A$286,A250,$B$7:$B$286,B250)=0,"",F250/SUMIFS($F$7:$F$286,$A$7:$A$286,A250,$B$7:$B$286,B250))</x:f>
        <x:v>0</x:v>
      </x:c>
      <x:c r="K250" s="155" t="n">
        <x:f>IF(SUMIFS($G$7:$G$286,$A$7:$A$286,A250,$B$7:$B$286,B250)=0,"",G250/SUMIFS($G$7:$G$286,$A$7:$A$286,A250,$B$7:$B$286,B250))</x:f>
        <x:v>0.035030097860081384</x:v>
      </x:c>
      <x:c r="L250" s="1"/>
      <x:c r="M250" s="1"/>
      <x:c r="N250" s="1"/>
      <x:c r="O250" s="1"/>
      <x:c r="P250" s="1"/>
      <x:c r="Q250" s="1"/>
    </x:row>
    <x:row r="251">
      <x:c r="A251" s="151" t="n">
        <x:v>46204</x:v>
      </x:c>
      <x:c r="B251" s="152" t="str">
        <x:v>平日</x:v>
      </x:c>
      <x:c r="C251" s="152" t="str">
        <x:v>25~34歲</x:v>
      </x:c>
      <x:c r="D251" s="40" t="n">
        <x:v>34484</x:v>
      </x:c>
      <x:c r="E251" s="40" t="n">
        <x:v>30795</x:v>
      </x:c>
      <x:c r="F251" s="153" t="n">
        <x:v>0</x:v>
      </x:c>
      <x:c r="G251" s="154" t="n">
        <x:f>SUM(D251:F251)</x:f>
        <x:v>65279</x:v>
      </x:c>
      <x:c r="H251" s="155" t="n">
        <x:f>IF(SUMIFS($D$7:$D$286,$A$7:$A$286,A251,$B$7:$B$286,B251)=0,"",D251/SUMIFS($D$7:$D$286,$A$7:$A$286,A251,$B$7:$B$286,B251))</x:f>
        <x:v>0.15556457797627105</x:v>
      </x:c>
      <x:c r="I251" s="155" t="n">
        <x:f>IF(SUMIFS($E$7:$E$286,$A$7:$A$286,A251,$B$7:$B$286,B251)=0,"",E251/SUMIFS($E$7:$E$286,$A$7:$A$286,A251,$B$7:$B$286,B251))</x:f>
        <x:v>0.22319907806713005</x:v>
      </x:c>
      <x:c r="J251" s="155" t="n">
        <x:f>IF(SUMIFS($F$7:$F$286,$A$7:$A$286,A251,$B$7:$B$286,B251)=0,"",F251/SUMIFS($F$7:$F$286,$A$7:$A$286,A251,$B$7:$B$286,B251))</x:f>
        <x:v>0</x:v>
      </x:c>
      <x:c r="K251" s="155" t="n">
        <x:f>IF(SUMIFS($G$7:$G$286,$A$7:$A$286,A251,$B$7:$B$286,B251)=0,"",G251/SUMIFS($G$7:$G$286,$A$7:$A$286,A251,$B$7:$B$286,B251))</x:f>
        <x:v>0.08130594695851565</x:v>
      </x:c>
      <x:c r="L251" s="1"/>
      <x:c r="M251" s="1"/>
      <x:c r="N251" s="1"/>
      <x:c r="O251" s="1"/>
      <x:c r="P251" s="1"/>
      <x:c r="Q251" s="1"/>
    </x:row>
    <x:row r="252">
      <x:c r="A252" s="151" t="n">
        <x:v>46204</x:v>
      </x:c>
      <x:c r="B252" s="152" t="str">
        <x:v>平日</x:v>
      </x:c>
      <x:c r="C252" s="152" t="str">
        <x:v>35~44歲</x:v>
      </x:c>
      <x:c r="D252" s="40" t="n">
        <x:v>30927</x:v>
      </x:c>
      <x:c r="E252" s="40" t="n">
        <x:v>29705</x:v>
      </x:c>
      <x:c r="F252" s="153" t="n">
        <x:v>0</x:v>
      </x:c>
      <x:c r="G252" s="154" t="n">
        <x:f>SUM(D252:F252)</x:f>
        <x:v>60632</x:v>
      </x:c>
      <x:c r="H252" s="155" t="n">
        <x:f>IF(SUMIFS($D$7:$D$286,$A$7:$A$286,A252,$B$7:$B$286,B252)=0,"",D252/SUMIFS($D$7:$D$286,$A$7:$A$286,A252,$B$7:$B$286,B252))</x:f>
        <x:v>0.13951820273379348</x:v>
      </x:c>
      <x:c r="I252" s="155" t="n">
        <x:f>IF(SUMIFS($E$7:$E$286,$A$7:$A$286,A252,$B$7:$B$286,B252)=0,"",E252/SUMIFS($E$7:$E$286,$A$7:$A$286,A252,$B$7:$B$286,B252))</x:f>
        <x:v>0.21529886715324234</x:v>
      </x:c>
      <x:c r="J252" s="155" t="n">
        <x:f>IF(SUMIFS($F$7:$F$286,$A$7:$A$286,A252,$B$7:$B$286,B252)=0,"",F252/SUMIFS($F$7:$F$286,$A$7:$A$286,A252,$B$7:$B$286,B252))</x:f>
        <x:v>0</x:v>
      </x:c>
      <x:c r="K252" s="155" t="n">
        <x:f>IF(SUMIFS($G$7:$G$286,$A$7:$A$286,A252,$B$7:$B$286,B252)=0,"",G252/SUMIFS($G$7:$G$286,$A$7:$A$286,A252,$B$7:$B$286,B252))</x:f>
        <x:v>0.07551804065608726</x:v>
      </x:c>
      <x:c r="L252" s="1"/>
      <x:c r="M252" s="1"/>
      <x:c r="N252" s="1"/>
      <x:c r="O252" s="1"/>
      <x:c r="P252" s="1"/>
      <x:c r="Q252" s="1"/>
    </x:row>
    <x:row r="253">
      <x:c r="A253" s="151" t="n">
        <x:v>46204</x:v>
      </x:c>
      <x:c r="B253" s="152" t="str">
        <x:v>平日</x:v>
      </x:c>
      <x:c r="C253" s="152" t="str">
        <x:v>45~54歲</x:v>
      </x:c>
      <x:c r="D253" s="40" t="n">
        <x:v>26740</x:v>
      </x:c>
      <x:c r="E253" s="40" t="n">
        <x:v>24796</x:v>
      </x:c>
      <x:c r="F253" s="153" t="n">
        <x:v>0</x:v>
      </x:c>
      <x:c r="G253" s="154" t="n">
        <x:f>SUM(D253:F253)</x:f>
        <x:v>51536</x:v>
      </x:c>
      <x:c r="H253" s="155" t="n">
        <x:f>IF(SUMIFS($D$7:$D$286,$A$7:$A$286,A253,$B$7:$B$286,B253)=0,"",D253/SUMIFS($D$7:$D$286,$A$7:$A$286,A253,$B$7:$B$286,B253))</x:f>
        <x:v>0.12062976496594036</x:v>
      </x:c>
      <x:c r="I253" s="155" t="n">
        <x:f>IF(SUMIFS($E$7:$E$286,$A$7:$A$286,A253,$B$7:$B$286,B253)=0,"",E253/SUMIFS($E$7:$E$286,$A$7:$A$286,A253,$B$7:$B$286,B253))</x:f>
        <x:v>0.17971892644106371</x:v>
      </x:c>
      <x:c r="J253" s="155" t="n">
        <x:f>IF(SUMIFS($F$7:$F$286,$A$7:$A$286,A253,$B$7:$B$286,B253)=0,"",F253/SUMIFS($F$7:$F$286,$A$7:$A$286,A253,$B$7:$B$286,B253))</x:f>
        <x:v>0</x:v>
      </x:c>
      <x:c r="K253" s="155" t="n">
        <x:f>IF(SUMIFS($G$7:$G$286,$A$7:$A$286,A253,$B$7:$B$286,B253)=0,"",G253/SUMIFS($G$7:$G$286,$A$7:$A$286,A253,$B$7:$B$286,B253))</x:f>
        <x:v>0.06418883994016548</x:v>
      </x:c>
      <x:c r="L253" s="1"/>
      <x:c r="M253" s="1"/>
      <x:c r="N253" s="1"/>
      <x:c r="O253" s="1"/>
      <x:c r="P253" s="1"/>
      <x:c r="Q253" s="1"/>
    </x:row>
    <x:row r="254">
      <x:c r="A254" s="151" t="n">
        <x:v>46204</x:v>
      </x:c>
      <x:c r="B254" s="152" t="str">
        <x:v>平日</x:v>
      </x:c>
      <x:c r="C254" s="152" t="str">
        <x:v>55~64歲</x:v>
      </x:c>
      <x:c r="D254" s="40" t="n">
        <x:v>17142</x:v>
      </x:c>
      <x:c r="E254" s="40" t="n">
        <x:v>12699</x:v>
      </x:c>
      <x:c r="F254" s="153" t="n">
        <x:v>0</x:v>
      </x:c>
      <x:c r="G254" s="154" t="n">
        <x:f>SUM(D254:F254)</x:f>
        <x:v>29841</x:v>
      </x:c>
      <x:c r="H254" s="155" t="n">
        <x:f>IF(SUMIFS($D$7:$D$286,$A$7:$A$286,A254,$B$7:$B$286,B254)=0,"",D254/SUMIFS($D$7:$D$286,$A$7:$A$286,A254,$B$7:$B$286,B254))</x:f>
        <x:v>0.07733116795236161</x:v>
      </x:c>
      <x:c r="I254" s="155" t="n">
        <x:f>IF(SUMIFS($E$7:$E$286,$A$7:$A$286,A254,$B$7:$B$286,B254)=0,"",E254/SUMIFS($E$7:$E$286,$A$7:$A$286,A254,$B$7:$B$286,B254))</x:f>
        <x:v>0.09204108109675221</x:v>
      </x:c>
      <x:c r="J254" s="155" t="n">
        <x:f>IF(SUMIFS($F$7:$F$286,$A$7:$A$286,A254,$B$7:$B$286,B254)=0,"",F254/SUMIFS($F$7:$F$286,$A$7:$A$286,A254,$B$7:$B$286,B254))</x:f>
        <x:v>0</x:v>
      </x:c>
      <x:c r="K254" s="155" t="n">
        <x:f>IF(SUMIFS($G$7:$G$286,$A$7:$A$286,A254,$B$7:$B$286,B254)=0,"",G254/SUMIFS($G$7:$G$286,$A$7:$A$286,A254,$B$7:$B$286,B254))</x:f>
        <x:v>0.03716740089751781</x:v>
      </x:c>
      <x:c r="L254" s="1"/>
      <x:c r="M254" s="1"/>
      <x:c r="N254" s="1"/>
      <x:c r="O254" s="1"/>
      <x:c r="P254" s="1"/>
      <x:c r="Q254" s="1"/>
    </x:row>
    <x:row r="255">
      <x:c r="A255" s="151" t="n">
        <x:v>46204</x:v>
      </x:c>
      <x:c r="B255" s="152" t="str">
        <x:v>平日</x:v>
      </x:c>
      <x:c r="C255" s="152" t="str">
        <x:v>65~100歲</x:v>
      </x:c>
      <x:c r="D255" s="40" t="n">
        <x:v>83450</x:v>
      </x:c>
      <x:c r="E255" s="40" t="n">
        <x:v>23609</x:v>
      </x:c>
      <x:c r="F255" s="153" t="n">
        <x:v>0</x:v>
      </x:c>
      <x:c r="G255" s="154" t="n">
        <x:f>SUM(D255:F255)</x:f>
        <x:v>107059</x:v>
      </x:c>
      <x:c r="H255" s="155" t="n">
        <x:f>IF(SUMIFS($D$7:$D$286,$A$7:$A$286,A255,$B$7:$B$286,B255)=0,"",D255/SUMIFS($D$7:$D$286,$A$7:$A$286,A255,$B$7:$B$286,B255))</x:f>
        <x:v>0.376460504353318</x:v>
      </x:c>
      <x:c r="I255" s="155" t="n">
        <x:f>IF(SUMIFS($E$7:$E$286,$A$7:$A$286,A255,$B$7:$B$286,B255)=0,"",E255/SUMIFS($E$7:$E$286,$A$7:$A$286,A255,$B$7:$B$286,B255))</x:f>
        <x:v>0.1711156692348392</x:v>
      </x:c>
      <x:c r="J255" s="155" t="n">
        <x:f>IF(SUMIFS($F$7:$F$286,$A$7:$A$286,A255,$B$7:$B$286,B255)=0,"",F255/SUMIFS($F$7:$F$286,$A$7:$A$286,A255,$B$7:$B$286,B255))</x:f>
        <x:v>0</x:v>
      </x:c>
      <x:c r="K255" s="155" t="n">
        <x:f>IF(SUMIFS($G$7:$G$286,$A$7:$A$286,A255,$B$7:$B$286,B255)=0,"",G255/SUMIFS($G$7:$G$286,$A$7:$A$286,A255,$B$7:$B$286,B255))</x:f>
        <x:v>0.1333435465529761</x:v>
      </x:c>
      <x:c r="L255" s="1"/>
      <x:c r="M255" s="1"/>
      <x:c r="N255" s="1"/>
      <x:c r="O255" s="1"/>
      <x:c r="P255" s="1"/>
      <x:c r="Q255" s="1"/>
    </x:row>
    <x:row r="256">
      <x:c r="A256" s="151" t="n">
        <x:v>46204</x:v>
      </x:c>
      <x:c r="B256" s="152" t="str">
        <x:v>平日</x:v>
      </x:c>
      <x:c r="C256" s="152" t="str">
        <x:v>未投保或資料有誤</x:v>
      </x:c>
      <x:c r="D256" s="40" t="n">
        <x:v>0</x:v>
      </x:c>
      <x:c r="E256" s="40" t="n">
        <x:v>0</x:v>
      </x:c>
      <x:c r="F256" s="153" t="n">
        <x:v>443240</x:v>
      </x:c>
      <x:c r="G256" s="154" t="n">
        <x:f>SUM(D256:F256)</x:f>
        <x:v>443240</x:v>
      </x:c>
      <x:c r="H256" s="155" t="n">
        <x:f>IF(SUMIFS($D$7:$D$286,$A$7:$A$286,A256,$B$7:$B$286,B256)=0,"",D256/SUMIFS($D$7:$D$286,$A$7:$A$286,A256,$B$7:$B$286,B256))</x:f>
        <x:v>0</x:v>
      </x:c>
      <x:c r="I256" s="155" t="n">
        <x:f>IF(SUMIFS($E$7:$E$286,$A$7:$A$286,A256,$B$7:$B$286,B256)=0,"",E256/SUMIFS($E$7:$E$286,$A$7:$A$286,A256,$B$7:$B$286,B256))</x:f>
        <x:v>0</x:v>
      </x:c>
      <x:c r="J256" s="155" t="n">
        <x:f>IF(SUMIFS($F$7:$F$286,$A$7:$A$286,A256,$B$7:$B$286,B256)=0,"",F256/SUMIFS($F$7:$F$286,$A$7:$A$286,A256,$B$7:$B$286,B256))</x:f>
        <x:v>1</x:v>
      </x:c>
      <x:c r="K256" s="155" t="n">
        <x:f>IF(SUMIFS($G$7:$G$286,$A$7:$A$286,A256,$B$7:$B$286,B256)=0,"",G256/SUMIFS($G$7:$G$286,$A$7:$A$286,A256,$B$7:$B$286,B256))</x:f>
        <x:v>0.5520618871289767</x:v>
      </x:c>
      <x:c r="L256" s="1"/>
      <x:c r="M256" s="1"/>
      <x:c r="N256" s="1"/>
      <x:c r="O256" s="1"/>
      <x:c r="P256" s="1"/>
      <x:c r="Q256" s="1"/>
    </x:row>
    <x:row r="257">
      <x:c r="A257" s="151" t="n">
        <x:v>46204</x:v>
      </x:c>
      <x:c r="B257" s="152" t="str">
        <x:v>假日</x:v>
      </x:c>
      <x:c r="C257" s="152" t="str">
        <x:v>08~11歲</x:v>
      </x:c>
      <x:c r="D257" s="40" t="n">
        <x:v>106</x:v>
      </x:c>
      <x:c r="E257" s="40" t="n">
        <x:v>44</x:v>
      </x:c>
      <x:c r="F257" s="153" t="n">
        <x:v>0</x:v>
      </x:c>
      <x:c r="G257" s="154" t="n">
        <x:f>SUM(D257:F257)</x:f>
        <x:v>150</x:v>
      </x:c>
      <x:c r="H257" s="155" t="n">
        <x:f>IF(SUMIFS($D$7:$D$286,$A$7:$A$286,A257,$B$7:$B$286,B257)=0,"",D257/SUMIFS($D$7:$D$286,$A$7:$A$286,A257,$B$7:$B$286,B257))</x:f>
        <x:v>0.0016535371655877077</x:v>
      </x:c>
      <x:c r="I257" s="155" t="n">
        <x:f>IF(SUMIFS($E$7:$E$286,$A$7:$A$286,A257,$B$7:$B$286,B257)=0,"",E257/SUMIFS($E$7:$E$286,$A$7:$A$286,A257,$B$7:$B$286,B257))</x:f>
        <x:v>0.0011365691111512928</x:v>
      </x:c>
      <x:c r="J257" s="155" t="n">
        <x:f>IF(SUMIFS($F$7:$F$286,$A$7:$A$286,A257,$B$7:$B$286,B257)=0,"",F257/SUMIFS($F$7:$F$286,$A$7:$A$286,A257,$B$7:$B$286,B257))</x:f>
        <x:v>0</x:v>
      </x:c>
      <x:c r="K257" s="155" t="n">
        <x:f>IF(SUMIFS($G$7:$G$286,$A$7:$A$286,A257,$B$7:$B$286,B257)=0,"",G257/SUMIFS($G$7:$G$286,$A$7:$A$286,A257,$B$7:$B$286,B257))</x:f>
        <x:v>0.0006516809022739319</x:v>
      </x:c>
      <x:c r="L257" s="1"/>
      <x:c r="M257" s="1"/>
      <x:c r="N257" s="1"/>
      <x:c r="O257" s="1"/>
      <x:c r="P257" s="1"/>
      <x:c r="Q257" s="1"/>
    </x:row>
    <x:row r="258">
      <x:c r="A258" s="151" t="n">
        <x:v>46204</x:v>
      </x:c>
      <x:c r="B258" s="152" t="str">
        <x:v>假日</x:v>
      </x:c>
      <x:c r="C258" s="152" t="str">
        <x:v>12~14歲</x:v>
      </x:c>
      <x:c r="D258" s="40" t="n">
        <x:v>916</x:v>
      </x:c>
      <x:c r="E258" s="40" t="n">
        <x:v>277</x:v>
      </x:c>
      <x:c r="F258" s="153" t="n">
        <x:v>0</x:v>
      </x:c>
      <x:c r="G258" s="154" t="n">
        <x:f>SUM(D258:F258)</x:f>
        <x:v>1193</x:v>
      </x:c>
      <x:c r="H258" s="155" t="n">
        <x:f>IF(SUMIFS($D$7:$D$286,$A$7:$A$286,A258,$B$7:$B$286,B258)=0,"",D258/SUMIFS($D$7:$D$286,$A$7:$A$286,A258,$B$7:$B$286,B258))</x:f>
        <x:v>0.014289057015833398</x:v>
      </x:c>
      <x:c r="I258" s="155" t="n">
        <x:f>IF(SUMIFS($E$7:$E$286,$A$7:$A$286,A258,$B$7:$B$286,B258)=0,"",E258/SUMIFS($E$7:$E$286,$A$7:$A$286,A258,$B$7:$B$286,B258))</x:f>
        <x:v>0.0071552191770206395</x:v>
      </x:c>
      <x:c r="J258" s="155" t="n">
        <x:f>IF(SUMIFS($F$7:$F$286,$A$7:$A$286,A258,$B$7:$B$286,B258)=0,"",F258/SUMIFS($F$7:$F$286,$A$7:$A$286,A258,$B$7:$B$286,B258))</x:f>
        <x:v>0</x:v>
      </x:c>
      <x:c r="K258" s="155" t="n">
        <x:f>IF(SUMIFS($G$7:$G$286,$A$7:$A$286,A258,$B$7:$B$286,B258)=0,"",G258/SUMIFS($G$7:$G$286,$A$7:$A$286,A258,$B$7:$B$286,B258))</x:f>
        <x:v>0.005183035442752005</x:v>
      </x:c>
      <x:c r="L258" s="1"/>
      <x:c r="M258" s="1"/>
      <x:c r="N258" s="1"/>
      <x:c r="O258" s="1"/>
      <x:c r="P258" s="1"/>
      <x:c r="Q258" s="1"/>
    </x:row>
    <x:row r="259">
      <x:c r="A259" s="151" t="n">
        <x:v>46204</x:v>
      </x:c>
      <x:c r="B259" s="152" t="str">
        <x:v>假日</x:v>
      </x:c>
      <x:c r="C259" s="152" t="str">
        <x:v>15~17歲</x:v>
      </x:c>
      <x:c r="D259" s="40" t="n">
        <x:v>1638</x:v>
      </x:c>
      <x:c r="E259" s="40" t="n">
        <x:v>706</x:v>
      </x:c>
      <x:c r="F259" s="153" t="n">
        <x:v>0</x:v>
      </x:c>
      <x:c r="G259" s="154" t="n">
        <x:f>SUM(D259:F259)</x:f>
        <x:v>2344</x:v>
      </x:c>
      <x:c r="H259" s="155" t="n">
        <x:f>IF(SUMIFS($D$7:$D$286,$A$7:$A$286,A259,$B$7:$B$286,B259)=0,"",D259/SUMIFS($D$7:$D$286,$A$7:$A$286,A259,$B$7:$B$286,B259))</x:f>
        <x:v>0.025551829030496843</x:v>
      </x:c>
      <x:c r="I259" s="155" t="n">
        <x:f>IF(SUMIFS($E$7:$E$286,$A$7:$A$286,A259,$B$7:$B$286,B259)=0,"",E259/SUMIFS($E$7:$E$286,$A$7:$A$286,A259,$B$7:$B$286,B259))</x:f>
        <x:v>0.018236768010745745</x:v>
      </x:c>
      <x:c r="J259" s="155" t="n">
        <x:f>IF(SUMIFS($F$7:$F$286,$A$7:$A$286,A259,$B$7:$B$286,B259)=0,"",F259/SUMIFS($F$7:$F$286,$A$7:$A$286,A259,$B$7:$B$286,B259))</x:f>
        <x:v>0</x:v>
      </x:c>
      <x:c r="K259" s="155" t="n">
        <x:f>IF(SUMIFS($G$7:$G$286,$A$7:$A$286,A259,$B$7:$B$286,B259)=0,"",G259/SUMIFS($G$7:$G$286,$A$7:$A$286,A259,$B$7:$B$286,B259))</x:f>
        <x:v>0.01018360023286731</x:v>
      </x:c>
      <x:c r="L259" s="1"/>
      <x:c r="M259" s="1"/>
      <x:c r="N259" s="1"/>
      <x:c r="O259" s="1"/>
      <x:c r="P259" s="1"/>
      <x:c r="Q259" s="1"/>
    </x:row>
    <x:row r="260">
      <x:c r="A260" s="151" t="n">
        <x:v>46204</x:v>
      </x:c>
      <x:c r="B260" s="152" t="str">
        <x:v>假日</x:v>
      </x:c>
      <x:c r="C260" s="152" t="str">
        <x:v>18~24歲</x:v>
      </x:c>
      <x:c r="D260" s="40" t="n">
        <x:v>4122</x:v>
      </x:c>
      <x:c r="E260" s="40" t="n">
        <x:v>3226</x:v>
      </x:c>
      <x:c r="F260" s="153" t="n">
        <x:v>0</x:v>
      </x:c>
      <x:c r="G260" s="154" t="n">
        <x:f>SUM(D260:F260)</x:f>
        <x:v>7348</x:v>
      </x:c>
      <x:c r="H260" s="155" t="n">
        <x:f>IF(SUMIFS($D$7:$D$286,$A$7:$A$286,A260,$B$7:$B$286,B260)=0,"",D260/SUMIFS($D$7:$D$286,$A$7:$A$286,A260,$B$7:$B$286,B260))</x:f>
        <x:v>0.0643007565712503</x:v>
      </x:c>
      <x:c r="I260" s="155" t="n">
        <x:f>IF(SUMIFS($E$7:$E$286,$A$7:$A$286,A260,$B$7:$B$286,B260)=0,"",E260/SUMIFS($E$7:$E$286,$A$7:$A$286,A260,$B$7:$B$286,B260))</x:f>
        <x:v>0.08333118074031978</x:v>
      </x:c>
      <x:c r="J260" s="155" t="n">
        <x:f>IF(SUMIFS($F$7:$F$286,$A$7:$A$286,A260,$B$7:$B$286,B260)=0,"",F260/SUMIFS($F$7:$F$286,$A$7:$A$286,A260,$B$7:$B$286,B260))</x:f>
        <x:v>0</x:v>
      </x:c>
      <x:c r="K260" s="155" t="n">
        <x:f>IF(SUMIFS($G$7:$G$286,$A$7:$A$286,A260,$B$7:$B$286,B260)=0,"",G260/SUMIFS($G$7:$G$286,$A$7:$A$286,A260,$B$7:$B$286,B260))</x:f>
        <x:v>0.031923675132725676</x:v>
      </x:c>
      <x:c r="L260" s="1"/>
      <x:c r="M260" s="1"/>
      <x:c r="N260" s="1"/>
      <x:c r="O260" s="1"/>
      <x:c r="P260" s="1"/>
      <x:c r="Q260" s="1"/>
    </x:row>
    <x:row r="261">
      <x:c r="A261" s="151" t="n">
        <x:v>46204</x:v>
      </x:c>
      <x:c r="B261" s="152" t="str">
        <x:v>假日</x:v>
      </x:c>
      <x:c r="C261" s="152" t="str">
        <x:v>25~34歲</x:v>
      </x:c>
      <x:c r="D261" s="40" t="n">
        <x:v>10118</x:v>
      </x:c>
      <x:c r="E261" s="40" t="n">
        <x:v>8085</x:v>
      </x:c>
      <x:c r="F261" s="153" t="n">
        <x:v>0</x:v>
      </x:c>
      <x:c r="G261" s="154" t="n">
        <x:f>SUM(D261:F261)</x:f>
        <x:v>18203</x:v>
      </x:c>
      <x:c r="H261" s="155" t="n">
        <x:f>IF(SUMIFS($D$7:$D$286,$A$7:$A$286,A261,$B$7:$B$286,B261)=0,"",D261/SUMIFS($D$7:$D$286,$A$7:$A$286,A261,$B$7:$B$286,B261))</x:f>
        <x:v>0.15783480227751345</x:v>
      </x:c>
      <x:c r="I261" s="155" t="n">
        <x:f>IF(SUMIFS($E$7:$E$286,$A$7:$A$286,A261,$B$7:$B$286,B261)=0,"",E261/SUMIFS($E$7:$E$286,$A$7:$A$286,A261,$B$7:$B$286,B261))</x:f>
        <x:v>0.20884457417405006</x:v>
      </x:c>
      <x:c r="J261" s="155" t="n">
        <x:f>IF(SUMIFS($F$7:$F$286,$A$7:$A$286,A261,$B$7:$B$286,B261)=0,"",F261/SUMIFS($F$7:$F$286,$A$7:$A$286,A261,$B$7:$B$286,B261))</x:f>
        <x:v>0</x:v>
      </x:c>
      <x:c r="K261" s="155" t="n">
        <x:f>IF(SUMIFS($G$7:$G$286,$A$7:$A$286,A261,$B$7:$B$286,B261)=0,"",G261/SUMIFS($G$7:$G$286,$A$7:$A$286,A261,$B$7:$B$286,B261))</x:f>
        <x:v>0.07908364976061588</x:v>
      </x:c>
      <x:c r="L261" s="1"/>
      <x:c r="M261" s="1"/>
      <x:c r="N261" s="1"/>
      <x:c r="O261" s="1"/>
      <x:c r="P261" s="1"/>
      <x:c r="Q261" s="1"/>
    </x:row>
    <x:row r="262">
      <x:c r="A262" s="151" t="n">
        <x:v>46204</x:v>
      </x:c>
      <x:c r="B262" s="152" t="str">
        <x:v>假日</x:v>
      </x:c>
      <x:c r="C262" s="152" t="str">
        <x:v>35~44歲</x:v>
      </x:c>
      <x:c r="D262" s="40" t="n">
        <x:v>9466</x:v>
      </x:c>
      <x:c r="E262" s="40" t="n">
        <x:v>7778</x:v>
      </x:c>
      <x:c r="F262" s="153" t="n">
        <x:v>0</x:v>
      </x:c>
      <x:c r="G262" s="154" t="n">
        <x:f>SUM(D262:F262)</x:f>
        <x:v>17244</x:v>
      </x:c>
      <x:c r="H262" s="155" t="n">
        <x:f>IF(SUMIFS($D$7:$D$286,$A$7:$A$286,A262,$B$7:$B$286,B262)=0,"",D262/SUMIFS($D$7:$D$286,$A$7:$A$286,A262,$B$7:$B$286,B262))</x:f>
        <x:v>0.1476639887684268</x:v>
      </x:c>
      <x:c r="I262" s="155" t="n">
        <x:f>IF(SUMIFS($E$7:$E$286,$A$7:$A$286,A262,$B$7:$B$286,B262)=0,"",E262/SUMIFS($E$7:$E$286,$A$7:$A$286,A262,$B$7:$B$286,B262))</x:f>
        <x:v>0.20091442151215355</x:v>
      </x:c>
      <x:c r="J262" s="155" t="n">
        <x:f>IF(SUMIFS($F$7:$F$286,$A$7:$A$286,A262,$B$7:$B$286,B262)=0,"",F262/SUMIFS($F$7:$F$286,$A$7:$A$286,A262,$B$7:$B$286,B262))</x:f>
        <x:v>0</x:v>
      </x:c>
      <x:c r="K262" s="155" t="n">
        <x:f>IF(SUMIFS($G$7:$G$286,$A$7:$A$286,A262,$B$7:$B$286,B262)=0,"",G262/SUMIFS($G$7:$G$286,$A$7:$A$286,A262,$B$7:$B$286,B262))</x:f>
        <x:v>0.07491723652541121</x:v>
      </x:c>
      <x:c r="L262" s="1"/>
      <x:c r="M262" s="1"/>
      <x:c r="N262" s="1"/>
      <x:c r="O262" s="1"/>
      <x:c r="P262" s="1"/>
      <x:c r="Q262" s="1"/>
    </x:row>
    <x:row r="263">
      <x:c r="A263" s="151" t="n">
        <x:v>46204</x:v>
      </x:c>
      <x:c r="B263" s="152" t="str">
        <x:v>假日</x:v>
      </x:c>
      <x:c r="C263" s="152" t="str">
        <x:v>45~54歲</x:v>
      </x:c>
      <x:c r="D263" s="40" t="n">
        <x:v>8601</x:v>
      </x:c>
      <x:c r="E263" s="40" t="n">
        <x:v>7650</x:v>
      </x:c>
      <x:c r="F263" s="153" t="n">
        <x:v>0</x:v>
      </x:c>
      <x:c r="G263" s="154" t="n">
        <x:f>SUM(D263:F263)</x:f>
        <x:v>16251</x:v>
      </x:c>
      <x:c r="H263" s="155" t="n">
        <x:f>IF(SUMIFS($D$7:$D$286,$A$7:$A$286,A263,$B$7:$B$286,B263)=0,"",D263/SUMIFS($D$7:$D$286,$A$7:$A$286,A263,$B$7:$B$286,B263))</x:f>
        <x:v>0.1341705015209422</x:v>
      </x:c>
      <x:c r="I263" s="155" t="n">
        <x:f>IF(SUMIFS($E$7:$E$286,$A$7:$A$286,A263,$B$7:$B$286,B263)=0,"",E263/SUMIFS($E$7:$E$286,$A$7:$A$286,A263,$B$7:$B$286,B263))</x:f>
        <x:v>0.19760803864334978</x:v>
      </x:c>
      <x:c r="J263" s="155" t="n">
        <x:f>IF(SUMIFS($F$7:$F$286,$A$7:$A$286,A263,$B$7:$B$286,B263)=0,"",F263/SUMIFS($F$7:$F$286,$A$7:$A$286,A263,$B$7:$B$286,B263))</x:f>
        <x:v>0</x:v>
      </x:c>
      <x:c r="K263" s="155" t="n">
        <x:f>IF(SUMIFS($G$7:$G$286,$A$7:$A$286,A263,$B$7:$B$286,B263)=0,"",G263/SUMIFS($G$7:$G$286,$A$7:$A$286,A263,$B$7:$B$286,B263))</x:f>
        <x:v>0.07060310895235779</x:v>
      </x:c>
      <x:c r="L263" s="1"/>
      <x:c r="M263" s="1"/>
      <x:c r="N263" s="1"/>
      <x:c r="O263" s="1"/>
      <x:c r="P263" s="1"/>
      <x:c r="Q263" s="1"/>
    </x:row>
    <x:row r="264">
      <x:c r="A264" s="151" t="n">
        <x:v>46204</x:v>
      </x:c>
      <x:c r="B264" s="152" t="str">
        <x:v>假日</x:v>
      </x:c>
      <x:c r="C264" s="152" t="str">
        <x:v>55~64歲</x:v>
      </x:c>
      <x:c r="D264" s="40" t="n">
        <x:v>5347</x:v>
      </x:c>
      <x:c r="E264" s="40" t="n">
        <x:v>3959</x:v>
      </x:c>
      <x:c r="F264" s="153" t="n">
        <x:v>0</x:v>
      </x:c>
      <x:c r="G264" s="154" t="n">
        <x:f>SUM(D264:F264)</x:f>
        <x:v>9306</x:v>
      </x:c>
      <x:c r="H264" s="155" t="n">
        <x:f>IF(SUMIFS($D$7:$D$286,$A$7:$A$286,A264,$B$7:$B$286,B264)=0,"",D264/SUMIFS($D$7:$D$286,$A$7:$A$286,A264,$B$7:$B$286,B264))</x:f>
        <x:v>0.08341003041884408</x:v>
      </x:c>
      <x:c r="I264" s="155" t="n">
        <x:f>IF(SUMIFS($E$7:$E$286,$A$7:$A$286,A264,$B$7:$B$286,B264)=0,"",E264/SUMIFS($E$7:$E$286,$A$7:$A$286,A264,$B$7:$B$286,B264))</x:f>
        <x:v>0.10226538888745383</x:v>
      </x:c>
      <x:c r="J264" s="155" t="n">
        <x:f>IF(SUMIFS($F$7:$F$286,$A$7:$A$286,A264,$B$7:$B$286,B264)=0,"",F264/SUMIFS($F$7:$F$286,$A$7:$A$286,A264,$B$7:$B$286,B264))</x:f>
        <x:v>0</x:v>
      </x:c>
      <x:c r="K264" s="155" t="n">
        <x:f>IF(SUMIFS($G$7:$G$286,$A$7:$A$286,A264,$B$7:$B$286,B264)=0,"",G264/SUMIFS($G$7:$G$286,$A$7:$A$286,A264,$B$7:$B$286,B264))</x:f>
        <x:v>0.040430283177074734</x:v>
      </x:c>
      <x:c r="L264" s="1"/>
      <x:c r="M264" s="1"/>
      <x:c r="N264" s="1"/>
      <x:c r="O264" s="1"/>
      <x:c r="P264" s="1"/>
      <x:c r="Q264" s="1"/>
    </x:row>
    <x:row r="265">
      <x:c r="A265" s="151" t="n">
        <x:v>46204</x:v>
      </x:c>
      <x:c r="B265" s="152" t="str">
        <x:v>假日</x:v>
      </x:c>
      <x:c r="C265" s="152" t="str">
        <x:v>65~100歲</x:v>
      </x:c>
      <x:c r="D265" s="40" t="n">
        <x:v>23791</x:v>
      </x:c>
      <x:c r="E265" s="40" t="n">
        <x:v>6988</x:v>
      </x:c>
      <x:c r="F265" s="153" t="n">
        <x:v>0</x:v>
      </x:c>
      <x:c r="G265" s="154" t="n">
        <x:f>SUM(D265:F265)</x:f>
        <x:v>30779</x:v>
      </x:c>
      <x:c r="H265" s="155" t="n">
        <x:f>IF(SUMIFS($D$7:$D$286,$A$7:$A$286,A265,$B$7:$B$286,B265)=0,"",D265/SUMIFS($D$7:$D$286,$A$7:$A$286,A265,$B$7:$B$286,B265))</x:f>
        <x:v>0.3711254972311052</x:v>
      </x:c>
      <x:c r="I265" s="155" t="n">
        <x:f>IF(SUMIFS($E$7:$E$286,$A$7:$A$286,A265,$B$7:$B$286,B265)=0,"",E265/SUMIFS($E$7:$E$286,$A$7:$A$286,A265,$B$7:$B$286,B265))</x:f>
        <x:v>0.18050783974375534</x:v>
      </x:c>
      <x:c r="J265" s="155" t="n">
        <x:f>IF(SUMIFS($F$7:$F$286,$A$7:$A$286,A265,$B$7:$B$286,B265)=0,"",F265/SUMIFS($F$7:$F$286,$A$7:$A$286,A265,$B$7:$B$286,B265))</x:f>
        <x:v>0</x:v>
      </x:c>
      <x:c r="K265" s="155" t="n">
        <x:f>IF(SUMIFS($G$7:$G$286,$A$7:$A$286,A265,$B$7:$B$286,B265)=0,"",G265/SUMIFS($G$7:$G$286,$A$7:$A$286,A265,$B$7:$B$286,B265))</x:f>
        <x:v>0.13372057660726233</x:v>
      </x:c>
      <x:c r="L265" s="1"/>
      <x:c r="M265" s="1"/>
      <x:c r="N265" s="1"/>
      <x:c r="O265" s="1"/>
      <x:c r="P265" s="1"/>
      <x:c r="Q265" s="1"/>
    </x:row>
    <x:row r="266">
      <x:c r="A266" s="151" t="n">
        <x:v>46204</x:v>
      </x:c>
      <x:c r="B266" s="152" t="str">
        <x:v>假日</x:v>
      </x:c>
      <x:c r="C266" s="152" t="str">
        <x:v>未投保或資料有誤</x:v>
      </x:c>
      <x:c r="D266" s="40" t="n">
        <x:v>0</x:v>
      </x:c>
      <x:c r="E266" s="40" t="n">
        <x:v>0</x:v>
      </x:c>
      <x:c r="F266" s="153" t="n">
        <x:v>127356</x:v>
      </x:c>
      <x:c r="G266" s="154" t="n">
        <x:f>SUM(D266:F266)</x:f>
        <x:v>127356</x:v>
      </x:c>
      <x:c r="H266" s="155" t="n">
        <x:f>IF(SUMIFS($D$7:$D$286,$A$7:$A$286,A266,$B$7:$B$286,B266)=0,"",D266/SUMIFS($D$7:$D$286,$A$7:$A$286,A266,$B$7:$B$286,B266))</x:f>
        <x:v>0</x:v>
      </x:c>
      <x:c r="I266" s="155" t="n">
        <x:f>IF(SUMIFS($E$7:$E$286,$A$7:$A$286,A266,$B$7:$B$286,B266)=0,"",E266/SUMIFS($E$7:$E$286,$A$7:$A$286,A266,$B$7:$B$286,B266))</x:f>
        <x:v>0</x:v>
      </x:c>
      <x:c r="J266" s="155" t="n">
        <x:f>IF(SUMIFS($F$7:$F$286,$A$7:$A$286,A266,$B$7:$B$286,B266)=0,"",F266/SUMIFS($F$7:$F$286,$A$7:$A$286,A266,$B$7:$B$286,B266))</x:f>
        <x:v>1</x:v>
      </x:c>
      <x:c r="K266" s="155" t="n">
        <x:f>IF(SUMIFS($G$7:$G$286,$A$7:$A$286,A266,$B$7:$B$286,B266)=0,"",G266/SUMIFS($G$7:$G$286,$A$7:$A$286,A266,$B$7:$B$286,B266))</x:f>
        <x:v>0.5533031532666591</x:v>
      </x:c>
      <x:c r="L266" s="1"/>
      <x:c r="M266" s="1"/>
      <x:c r="N266" s="1"/>
      <x:c r="O266" s="1"/>
      <x:c r="P266" s="1"/>
      <x:c r="Q266" s="1"/>
    </x:row>
    <x:row r="267">
      <x:c r="A267" s="151" t="n">
        <x:v>46235</x:v>
      </x:c>
      <x:c r="B267" s="152" t="str">
        <x:v>平日</x:v>
      </x:c>
      <x:c r="C267" s="152" t="str">
        <x:v>08~11歲</x:v>
      </x:c>
      <x:c r="D267" s="40" t="n">
        <x:v>417</x:v>
      </x:c>
      <x:c r="E267" s="40" t="n">
        <x:v>133</x:v>
      </x:c>
      <x:c r="F267" s="153" t="n">
        <x:v>0</x:v>
      </x:c>
      <x:c r="G267" s="154" t="n">
        <x:f>SUM(D267:F267)</x:f>
        <x:v>550</x:v>
      </x:c>
      <x:c r="H267" s="155" t="n">
        <x:f>IF(SUMIFS($D$7:$D$286,$A$7:$A$286,A267,$B$7:$B$286,B267)=0,"",D267/SUMIFS($D$7:$D$286,$A$7:$A$286,A267,$B$7:$B$286,B267))</x:f>
        <x:v>0.0019370482543339712</x:v>
      </x:c>
      <x:c r="I267" s="155" t="n">
        <x:f>IF(SUMIFS($E$7:$E$286,$A$7:$A$286,A267,$B$7:$B$286,B267)=0,"",E267/SUMIFS($E$7:$E$286,$A$7:$A$286,A267,$B$7:$B$286,B267))</x:f>
        <x:v>0.0010398342519838944</x:v>
      </x:c>
      <x:c r="J267" s="155" t="n">
        <x:f>IF(SUMIFS($F$7:$F$286,$A$7:$A$286,A267,$B$7:$B$286,B267)=0,"",F267/SUMIFS($F$7:$F$286,$A$7:$A$286,A267,$B$7:$B$286,B267))</x:f>
        <x:v>0</x:v>
      </x:c>
      <x:c r="K267" s="155" t="n">
        <x:f>IF(SUMIFS($G$7:$G$286,$A$7:$A$286,A267,$B$7:$B$286,B267)=0,"",G267/SUMIFS($G$7:$G$286,$A$7:$A$286,A267,$B$7:$B$286,B267))</x:f>
        <x:v>0.0007048977577843141</x:v>
      </x:c>
      <x:c r="L267" s="1"/>
      <x:c r="M267" s="1"/>
      <x:c r="N267" s="1"/>
      <x:c r="O267" s="1"/>
      <x:c r="P267" s="1"/>
      <x:c r="Q267" s="1"/>
    </x:row>
    <x:row r="268">
      <x:c r="A268" s="151" t="n">
        <x:v>46235</x:v>
      </x:c>
      <x:c r="B268" s="152" t="str">
        <x:v>平日</x:v>
      </x:c>
      <x:c r="C268" s="152" t="str">
        <x:v>12~14歲</x:v>
      </x:c>
      <x:c r="D268" s="40" t="n">
        <x:v>3659</x:v>
      </x:c>
      <x:c r="E268" s="40" t="n">
        <x:v>1101</x:v>
      </x:c>
      <x:c r="F268" s="153" t="n">
        <x:v>0</x:v>
      </x:c>
      <x:c r="G268" s="154" t="n">
        <x:f>SUM(D268:F268)</x:f>
        <x:v>4760</x:v>
      </x:c>
      <x:c r="H268" s="155" t="n">
        <x:f>IF(SUMIFS($D$7:$D$286,$A$7:$A$286,A268,$B$7:$B$286,B268)=0,"",D268/SUMIFS($D$7:$D$286,$A$7:$A$286,A268,$B$7:$B$286,B268))</x:f>
        <x:v>0.01699678552184173</x:v>
      </x:c>
      <x:c r="I268" s="155" t="n">
        <x:f>IF(SUMIFS($E$7:$E$286,$A$7:$A$286,A268,$B$7:$B$286,B268)=0,"",E268/SUMIFS($E$7:$E$286,$A$7:$A$286,A268,$B$7:$B$286,B268))</x:f>
        <x:v>0.008607951213791485</x:v>
      </x:c>
      <x:c r="J268" s="155" t="n">
        <x:f>IF(SUMIFS($F$7:$F$286,$A$7:$A$286,A268,$B$7:$B$286,B268)=0,"",F268/SUMIFS($F$7:$F$286,$A$7:$A$286,A268,$B$7:$B$286,B268))</x:f>
        <x:v>0</x:v>
      </x:c>
      <x:c r="K268" s="155" t="n">
        <x:f>IF(SUMIFS($G$7:$G$286,$A$7:$A$286,A268,$B$7:$B$286,B268)=0,"",G268/SUMIFS($G$7:$G$286,$A$7:$A$286,A268,$B$7:$B$286,B268))</x:f>
        <x:v>0.0061005696855515185</x:v>
      </x:c>
      <x:c r="L268" s="1"/>
      <x:c r="M268" s="1"/>
      <x:c r="N268" s="1"/>
      <x:c r="O268" s="1"/>
      <x:c r="P268" s="1"/>
      <x:c r="Q268" s="1"/>
    </x:row>
    <x:row r="269">
      <x:c r="A269" s="151" t="n">
        <x:v>46235</x:v>
      </x:c>
      <x:c r="B269" s="152" t="str">
        <x:v>平日</x:v>
      </x:c>
      <x:c r="C269" s="152" t="str">
        <x:v>15~17歲</x:v>
      </x:c>
      <x:c r="D269" s="40" t="n">
        <x:v>6549</x:v>
      </x:c>
      <x:c r="E269" s="40" t="n">
        <x:v>2592</x:v>
      </x:c>
      <x:c r="F269" s="153" t="n">
        <x:v>0</x:v>
      </x:c>
      <x:c r="G269" s="154" t="n">
        <x:f>SUM(D269:F269)</x:f>
        <x:v>9141</x:v>
      </x:c>
      <x:c r="H269" s="155" t="n">
        <x:f>IF(SUMIFS($D$7:$D$286,$A$7:$A$286,A269,$B$7:$B$286,B269)=0,"",D269/SUMIFS($D$7:$D$286,$A$7:$A$286,A269,$B$7:$B$286,B269))</x:f>
        <x:v>0.03042141251230978</x:v>
      </x:c>
      <x:c r="I269" s="155" t="n">
        <x:f>IF(SUMIFS($E$7:$E$286,$A$7:$A$286,A269,$B$7:$B$286,B269)=0,"",E269/SUMIFS($E$7:$E$286,$A$7:$A$286,A269,$B$7:$B$286,B269))</x:f>
        <x:v>0.020265040459716197</x:v>
      </x:c>
      <x:c r="J269" s="155" t="n">
        <x:f>IF(SUMIFS($F$7:$F$286,$A$7:$A$286,A269,$B$7:$B$286,B269)=0,"",F269/SUMIFS($F$7:$F$286,$A$7:$A$286,A269,$B$7:$B$286,B269))</x:f>
        <x:v>0</x:v>
      </x:c>
      <x:c r="K269" s="155" t="n">
        <x:f>IF(SUMIFS($G$7:$G$286,$A$7:$A$286,A269,$B$7:$B$286,B269)=0,"",G269/SUMIFS($G$7:$G$286,$A$7:$A$286,A269,$B$7:$B$286,B269))</x:f>
        <x:v>0.011715400734375301</x:v>
      </x:c>
      <x:c r="L269" s="1"/>
      <x:c r="M269" s="1"/>
      <x:c r="N269" s="1"/>
      <x:c r="O269" s="1"/>
      <x:c r="P269" s="1"/>
      <x:c r="Q269" s="1"/>
    </x:row>
    <x:row r="270">
      <x:c r="A270" s="151" t="n">
        <x:v>46235</x:v>
      </x:c>
      <x:c r="B270" s="152" t="str">
        <x:v>平日</x:v>
      </x:c>
      <x:c r="C270" s="152" t="str">
        <x:v>18~24歲</x:v>
      </x:c>
      <x:c r="D270" s="40" t="n">
        <x:v>13720</x:v>
      </x:c>
      <x:c r="E270" s="40" t="n">
        <x:v>10466</x:v>
      </x:c>
      <x:c r="F270" s="153" t="n">
        <x:v>0</x:v>
      </x:c>
      <x:c r="G270" s="154" t="n">
        <x:f>SUM(D270:F270)</x:f>
        <x:v>24186</x:v>
      </x:c>
      <x:c r="H270" s="155" t="n">
        <x:f>IF(SUMIFS($D$7:$D$286,$A$7:$A$286,A270,$B$7:$B$286,B270)=0,"",D270/SUMIFS($D$7:$D$286,$A$7:$A$286,A270,$B$7:$B$286,B270))</x:f>
        <x:v>0.06373213920734314</x:v>
      </x:c>
      <x:c r="I270" s="155" t="n">
        <x:f>IF(SUMIFS($E$7:$E$286,$A$7:$A$286,A270,$B$7:$B$286,B270)=0,"",E270/SUMIFS($E$7:$E$286,$A$7:$A$286,A270,$B$7:$B$286,B270))</x:f>
        <x:v>0.08182635549822134</x:v>
      </x:c>
      <x:c r="J270" s="155" t="n">
        <x:f>IF(SUMIFS($F$7:$F$286,$A$7:$A$286,A270,$B$7:$B$286,B270)=0,"",F270/SUMIFS($F$7:$F$286,$A$7:$A$286,A270,$B$7:$B$286,B270))</x:f>
        <x:v>0</x:v>
      </x:c>
      <x:c r="K270" s="155" t="n">
        <x:f>IF(SUMIFS($G$7:$G$286,$A$7:$A$286,A270,$B$7:$B$286,B270)=0,"",G270/SUMIFS($G$7:$G$286,$A$7:$A$286,A270,$B$7:$B$286,B270))</x:f>
        <x:v>0.03099755849049349</x:v>
      </x:c>
      <x:c r="L270" s="1"/>
      <x:c r="M270" s="1"/>
      <x:c r="N270" s="1"/>
      <x:c r="O270" s="1"/>
      <x:c r="P270" s="1"/>
      <x:c r="Q270" s="1"/>
    </x:row>
    <x:row r="271">
      <x:c r="A271" s="151" t="n">
        <x:v>46235</x:v>
      </x:c>
      <x:c r="B271" s="152" t="str">
        <x:v>平日</x:v>
      </x:c>
      <x:c r="C271" s="152" t="str">
        <x:v>25~34歲</x:v>
      </x:c>
      <x:c r="D271" s="40" t="n">
        <x:v>30401</x:v>
      </x:c>
      <x:c r="E271" s="40" t="n">
        <x:v>26650</x:v>
      </x:c>
      <x:c r="F271" s="153" t="n">
        <x:v>0</x:v>
      </x:c>
      <x:c r="G271" s="154" t="n">
        <x:f>SUM(D271:F271)</x:f>
        <x:v>57051</x:v>
      </x:c>
      <x:c r="H271" s="155" t="n">
        <x:f>IF(SUMIFS($D$7:$D$286,$A$7:$A$286,A271,$B$7:$B$286,B271)=0,"",D271/SUMIFS($D$7:$D$286,$A$7:$A$286,A271,$B$7:$B$286,B271))</x:f>
        <x:v>0.14121871458035265</x:v>
      </x:c>
      <x:c r="I271" s="155" t="n">
        <x:f>IF(SUMIFS($E$7:$E$286,$A$7:$A$286,A271,$B$7:$B$286,B271)=0,"",E271/SUMIFS($E$7:$E$286,$A$7:$A$286,A271,$B$7:$B$286,B271))</x:f>
        <x:v>0.20835776552910362</x:v>
      </x:c>
      <x:c r="J271" s="155" t="n">
        <x:f>IF(SUMIFS($F$7:$F$286,$A$7:$A$286,A271,$B$7:$B$286,B271)=0,"",F271/SUMIFS($F$7:$F$286,$A$7:$A$286,A271,$B$7:$B$286,B271))</x:f>
        <x:v>0</x:v>
      </x:c>
      <x:c r="K271" s="155" t="n">
        <x:f>IF(SUMIFS($G$7:$G$286,$A$7:$A$286,A271,$B$7:$B$286,B271)=0,"",G271/SUMIFS($G$7:$G$286,$A$7:$A$286,A271,$B$7:$B$286,B271))</x:f>
        <x:v>0.07311840359882346</x:v>
      </x:c>
      <x:c r="L271" s="1"/>
      <x:c r="M271" s="1"/>
      <x:c r="N271" s="1"/>
      <x:c r="O271" s="1"/>
      <x:c r="P271" s="1"/>
      <x:c r="Q271" s="1"/>
    </x:row>
    <x:row r="272">
      <x:c r="A272" s="151" t="n">
        <x:v>46235</x:v>
      </x:c>
      <x:c r="B272" s="152" t="str">
        <x:v>平日</x:v>
      </x:c>
      <x:c r="C272" s="152" t="str">
        <x:v>35~44歲</x:v>
      </x:c>
      <x:c r="D272" s="40" t="n">
        <x:v>27740</x:v>
      </x:c>
      <x:c r="E272" s="40" t="n">
        <x:v>26092</x:v>
      </x:c>
      <x:c r="F272" s="153" t="n">
        <x:v>0</x:v>
      </x:c>
      <x:c r="G272" s="154" t="n">
        <x:f>SUM(D272:F272)</x:f>
        <x:v>53832</x:v>
      </x:c>
      <x:c r="H272" s="155" t="n">
        <x:f>IF(SUMIFS($D$7:$D$286,$A$7:$A$286,A272,$B$7:$B$286,B272)=0,"",D272/SUMIFS($D$7:$D$286,$A$7:$A$286,A272,$B$7:$B$286,B272))</x:f>
        <x:v>0.12885783830989056</x:v>
      </x:c>
      <x:c r="I272" s="155" t="n">
        <x:f>IF(SUMIFS($E$7:$E$286,$A$7:$A$286,A272,$B$7:$B$286,B272)=0,"",E272/SUMIFS($E$7:$E$286,$A$7:$A$286,A272,$B$7:$B$286,B272))</x:f>
        <x:v>0.20399515265235918</x:v>
      </x:c>
      <x:c r="J272" s="155" t="n">
        <x:f>IF(SUMIFS($F$7:$F$286,$A$7:$A$286,A272,$B$7:$B$286,B272)=0,"",F272/SUMIFS($F$7:$F$286,$A$7:$A$286,A272,$B$7:$B$286,B272))</x:f>
        <x:v>0</x:v>
      </x:c>
      <x:c r="K272" s="155" t="n">
        <x:f>IF(SUMIFS($G$7:$G$286,$A$7:$A$286,A272,$B$7:$B$286,B272)=0,"",G272/SUMIFS($G$7:$G$286,$A$7:$A$286,A272,$B$7:$B$286,B272))</x:f>
        <x:v>0.06899282926735491</x:v>
      </x:c>
      <x:c r="L272" s="1"/>
      <x:c r="M272" s="1"/>
      <x:c r="N272" s="1"/>
      <x:c r="O272" s="1"/>
      <x:c r="P272" s="1"/>
      <x:c r="Q272" s="1"/>
    </x:row>
    <x:row r="273">
      <x:c r="A273" s="151" t="n">
        <x:v>46235</x:v>
      </x:c>
      <x:c r="B273" s="152" t="str">
        <x:v>平日</x:v>
      </x:c>
      <x:c r="C273" s="152" t="str">
        <x:v>45~54歲</x:v>
      </x:c>
      <x:c r="D273" s="40" t="n">
        <x:v>23597</x:v>
      </x:c>
      <x:c r="E273" s="40" t="n">
        <x:v>21766</x:v>
      </x:c>
      <x:c r="F273" s="153" t="n">
        <x:v>0</x:v>
      </x:c>
      <x:c r="G273" s="154" t="n">
        <x:f>SUM(D273:F273)</x:f>
        <x:v>45363</x:v>
      </x:c>
      <x:c r="H273" s="155" t="n">
        <x:f>IF(SUMIFS($D$7:$D$286,$A$7:$A$286,A273,$B$7:$B$286,B273)=0,"",D273/SUMIFS($D$7:$D$286,$A$7:$A$286,A273,$B$7:$B$286,B273))</x:f>
        <x:v>0.10961277615711923</x:v>
      </x:c>
      <x:c r="I273" s="155" t="n">
        <x:f>IF(SUMIFS($E$7:$E$286,$A$7:$A$286,A273,$B$7:$B$286,B273)=0,"",E273/SUMIFS($E$7:$E$286,$A$7:$A$286,A273,$B$7:$B$286,B273))</x:f>
        <x:v>0.17017317540361987</x:v>
      </x:c>
      <x:c r="J273" s="155" t="n">
        <x:f>IF(SUMIFS($F$7:$F$286,$A$7:$A$286,A273,$B$7:$B$286,B273)=0,"",F273/SUMIFS($F$7:$F$286,$A$7:$A$286,A273,$B$7:$B$286,B273))</x:f>
        <x:v>0</x:v>
      </x:c>
      <x:c r="K273" s="155" t="n">
        <x:f>IF(SUMIFS($G$7:$G$286,$A$7:$A$286,A273,$B$7:$B$286,B273)=0,"",G273/SUMIFS($G$7:$G$286,$A$7:$A$286,A273,$B$7:$B$286,B273))</x:f>
        <x:v>0.058138685429763345</x:v>
      </x:c>
      <x:c r="L273" s="1"/>
      <x:c r="M273" s="1"/>
      <x:c r="N273" s="1"/>
      <x:c r="O273" s="1"/>
      <x:c r="P273" s="1"/>
      <x:c r="Q273" s="1"/>
    </x:row>
    <x:row r="274">
      <x:c r="A274" s="151" t="n">
        <x:v>46235</x:v>
      </x:c>
      <x:c r="B274" s="152" t="str">
        <x:v>平日</x:v>
      </x:c>
      <x:c r="C274" s="152" t="str">
        <x:v>55~64歲</x:v>
      </x:c>
      <x:c r="D274" s="40" t="n">
        <x:v>15582</x:v>
      </x:c>
      <x:c r="E274" s="40" t="n">
        <x:v>11470</x:v>
      </x:c>
      <x:c r="F274" s="153" t="n">
        <x:v>0</x:v>
      </x:c>
      <x:c r="G274" s="154" t="n">
        <x:f>SUM(D274:F274)</x:f>
        <x:v>27052</x:v>
      </x:c>
      <x:c r="H274" s="155" t="n">
        <x:f>IF(SUMIFS($D$7:$D$286,$A$7:$A$286,A274,$B$7:$B$286,B274)=0,"",D274/SUMIFS($D$7:$D$286,$A$7:$A$286,A274,$B$7:$B$286,B274))</x:f>
        <x:v>0.07238150095691112</x:v>
      </x:c>
      <x:c r="I274" s="155" t="n">
        <x:f>IF(SUMIFS($E$7:$E$286,$A$7:$A$286,A274,$B$7:$B$286,B274)=0,"",E274/SUMIFS($E$7:$E$286,$A$7:$A$286,A274,$B$7:$B$286,B274))</x:f>
        <x:v>0.08967593135530276</x:v>
      </x:c>
      <x:c r="J274" s="155" t="n">
        <x:f>IF(SUMIFS($F$7:$F$286,$A$7:$A$286,A274,$B$7:$B$286,B274)=0,"",F274/SUMIFS($F$7:$F$286,$A$7:$A$286,A274,$B$7:$B$286,B274))</x:f>
        <x:v>0</x:v>
      </x:c>
      <x:c r="K274" s="155" t="n">
        <x:f>IF(SUMIFS($G$7:$G$286,$A$7:$A$286,A274,$B$7:$B$286,B274)=0,"",G274/SUMIFS($G$7:$G$286,$A$7:$A$286,A274,$B$7:$B$286,B274))</x:f>
        <x:v>0.03467071662469321</x:v>
      </x:c>
      <x:c r="L274" s="1"/>
      <x:c r="M274" s="1"/>
      <x:c r="N274" s="1"/>
      <x:c r="O274" s="1"/>
      <x:c r="P274" s="1"/>
      <x:c r="Q274" s="1"/>
    </x:row>
    <x:row r="275">
      <x:c r="A275" s="151" t="n">
        <x:v>46235</x:v>
      </x:c>
      <x:c r="B275" s="152" t="str">
        <x:v>平日</x:v>
      </x:c>
      <x:c r="C275" s="152" t="str">
        <x:v>65~100歲</x:v>
      </x:c>
      <x:c r="D275" s="40" t="n">
        <x:v>93611</x:v>
      </x:c>
      <x:c r="E275" s="40" t="n">
        <x:v>27635</x:v>
      </x:c>
      <x:c r="F275" s="153" t="n">
        <x:v>0</x:v>
      </x:c>
      <x:c r="G275" s="154" t="n">
        <x:f>SUM(D275:F275)</x:f>
        <x:v>121246</x:v>
      </x:c>
      <x:c r="H275" s="155" t="n">
        <x:f>IF(SUMIFS($D$7:$D$286,$A$7:$A$286,A275,$B$7:$B$286,B275)=0,"",D275/SUMIFS($D$7:$D$286,$A$7:$A$286,A275,$B$7:$B$286,B275))</x:f>
        <x:v>0.4348417844998978</x:v>
      </x:c>
      <x:c r="I275" s="155" t="n">
        <x:f>IF(SUMIFS($E$7:$E$286,$A$7:$A$286,A275,$B$7:$B$286,B275)=0,"",E275/SUMIFS($E$7:$E$286,$A$7:$A$286,A275,$B$7:$B$286,B275))</x:f>
        <x:v>0.21605879363590164</x:v>
      </x:c>
      <x:c r="J275" s="155" t="n">
        <x:f>IF(SUMIFS($F$7:$F$286,$A$7:$A$286,A275,$B$7:$B$286,B275)=0,"",F275/SUMIFS($F$7:$F$286,$A$7:$A$286,A275,$B$7:$B$286,B275))</x:f>
        <x:v>0</x:v>
      </x:c>
      <x:c r="K275" s="155" t="n">
        <x:f>IF(SUMIFS($G$7:$G$286,$A$7:$A$286,A275,$B$7:$B$286,B275)=0,"",G275/SUMIFS($G$7:$G$286,$A$7:$A$286,A275,$B$7:$B$286,B275))</x:f>
        <x:v>0.15539278825512173</x:v>
      </x:c>
      <x:c r="L275" s="1"/>
      <x:c r="M275" s="1"/>
      <x:c r="N275" s="1"/>
      <x:c r="O275" s="1"/>
      <x:c r="P275" s="1"/>
      <x:c r="Q275" s="1"/>
    </x:row>
    <x:row r="276">
      <x:c r="A276" s="151" t="n">
        <x:v>46235</x:v>
      </x:c>
      <x:c r="B276" s="152" t="str">
        <x:v>平日</x:v>
      </x:c>
      <x:c r="C276" s="152" t="str">
        <x:v>未投保或資料有誤</x:v>
      </x:c>
      <x:c r="D276" s="40" t="n">
        <x:v>0</x:v>
      </x:c>
      <x:c r="E276" s="40" t="n">
        <x:v>0</x:v>
      </x:c>
      <x:c r="F276" s="153" t="n">
        <x:v>437074</x:v>
      </x:c>
      <x:c r="G276" s="154" t="n">
        <x:f>SUM(D276:F276)</x:f>
        <x:v>437074</x:v>
      </x:c>
      <x:c r="H276" s="155" t="n">
        <x:f>IF(SUMIFS($D$7:$D$286,$A$7:$A$286,A276,$B$7:$B$286,B276)=0,"",D276/SUMIFS($D$7:$D$286,$A$7:$A$286,A276,$B$7:$B$286,B276))</x:f>
        <x:v>0</x:v>
      </x:c>
      <x:c r="I276" s="155" t="n">
        <x:f>IF(SUMIFS($E$7:$E$286,$A$7:$A$286,A276,$B$7:$B$286,B276)=0,"",E276/SUMIFS($E$7:$E$286,$A$7:$A$286,A276,$B$7:$B$286,B276))</x:f>
        <x:v>0</x:v>
      </x:c>
      <x:c r="J276" s="155" t="n">
        <x:f>IF(SUMIFS($F$7:$F$286,$A$7:$A$286,A276,$B$7:$B$286,B276)=0,"",F276/SUMIFS($F$7:$F$286,$A$7:$A$286,A276,$B$7:$B$286,B276))</x:f>
        <x:v>1</x:v>
      </x:c>
      <x:c r="K276" s="155" t="n">
        <x:f>IF(SUMIFS($G$7:$G$286,$A$7:$A$286,A276,$B$7:$B$286,B276)=0,"",G276/SUMIFS($G$7:$G$286,$A$7:$A$286,A276,$B$7:$B$286,B276))</x:f>
        <x:v>0.5601681501560387</x:v>
      </x:c>
      <x:c r="L276" s="1"/>
      <x:c r="M276" s="1"/>
      <x:c r="N276" s="1"/>
      <x:c r="O276" s="1"/>
      <x:c r="P276" s="1"/>
      <x:c r="Q276" s="1"/>
    </x:row>
    <x:row r="277">
      <x:c r="A277" s="151" t="n">
        <x:v>46235</x:v>
      </x:c>
      <x:c r="B277" s="152" t="str">
        <x:v>假日</x:v>
      </x:c>
      <x:c r="C277" s="152" t="str">
        <x:v>08~11歲</x:v>
      </x:c>
      <x:c r="D277" s="40" t="n">
        <x:v>151</x:v>
      </x:c>
      <x:c r="E277" s="40" t="n">
        <x:v>39</x:v>
      </x:c>
      <x:c r="F277" s="153" t="n">
        <x:v>0</x:v>
      </x:c>
      <x:c r="G277" s="154" t="n">
        <x:f>SUM(D277:F277)</x:f>
        <x:v>190</x:v>
      </x:c>
      <x:c r="H277" s="155" t="n">
        <x:f>IF(SUMIFS($D$7:$D$286,$A$7:$A$286,A277,$B$7:$B$286,B277)=0,"",D277/SUMIFS($D$7:$D$286,$A$7:$A$286,A277,$B$7:$B$286,B277))</x:f>
        <x:v>0.0017125423882594444</x:v>
      </x:c>
      <x:c r="I277" s="155" t="n">
        <x:f>IF(SUMIFS($E$7:$E$286,$A$7:$A$286,A277,$B$7:$B$286,B277)=0,"",E277/SUMIFS($E$7:$E$286,$A$7:$A$286,A277,$B$7:$B$286,B277))</x:f>
        <x:v>0.0008059016799950406</x:v>
      </x:c>
      <x:c r="J277" s="155" t="n">
        <x:f>IF(SUMIFS($F$7:$F$286,$A$7:$A$286,A277,$B$7:$B$286,B277)=0,"",F277/SUMIFS($F$7:$F$286,$A$7:$A$286,A277,$B$7:$B$286,B277))</x:f>
        <x:v>0</x:v>
      </x:c>
      <x:c r="K277" s="155" t="n">
        <x:f>IF(SUMIFS($G$7:$G$286,$A$7:$A$286,A277,$B$7:$B$286,B277)=0,"",G277/SUMIFS($G$7:$G$286,$A$7:$A$286,A277,$B$7:$B$286,B277))</x:f>
        <x:v>0.0006082666641055439</x:v>
      </x:c>
      <x:c r="L277" s="1"/>
      <x:c r="M277" s="1"/>
      <x:c r="N277" s="1"/>
      <x:c r="O277" s="1"/>
      <x:c r="P277" s="1"/>
      <x:c r="Q277" s="1"/>
    </x:row>
    <x:row r="278">
      <x:c r="A278" s="151" t="n">
        <x:v>46235</x:v>
      </x:c>
      <x:c r="B278" s="152" t="str">
        <x:v>假日</x:v>
      </x:c>
      <x:c r="C278" s="152" t="str">
        <x:v>12~14歲</x:v>
      </x:c>
      <x:c r="D278" s="40" t="n">
        <x:v>1116</x:v>
      </x:c>
      <x:c r="E278" s="40" t="n">
        <x:v>339</x:v>
      </x:c>
      <x:c r="F278" s="153" t="n">
        <x:v>0</x:v>
      </x:c>
      <x:c r="G278" s="154" t="n">
        <x:f>SUM(D278:F278)</x:f>
        <x:v>1455</x:v>
      </x:c>
      <x:c r="H278" s="155" t="n">
        <x:f>IF(SUMIFS($D$7:$D$286,$A$7:$A$286,A278,$B$7:$B$286,B278)=0,"",D278/SUMIFS($D$7:$D$286,$A$7:$A$286,A278,$B$7:$B$286,B278))</x:f>
        <x:v>0.012656935796672451</x:v>
      </x:c>
      <x:c r="I278" s="155" t="n">
        <x:f>IF(SUMIFS($E$7:$E$286,$A$7:$A$286,A278,$B$7:$B$286,B278)=0,"",E278/SUMIFS($E$7:$E$286,$A$7:$A$286,A278,$B$7:$B$286,B278))</x:f>
        <x:v>0.007005145372264584</x:v>
      </x:c>
      <x:c r="J278" s="155" t="n">
        <x:f>IF(SUMIFS($F$7:$F$286,$A$7:$A$286,A278,$B$7:$B$286,B278)=0,"",F278/SUMIFS($F$7:$F$286,$A$7:$A$286,A278,$B$7:$B$286,B278))</x:f>
        <x:v>0</x:v>
      </x:c>
      <x:c r="K278" s="155" t="n">
        <x:f>IF(SUMIFS($G$7:$G$286,$A$7:$A$286,A278,$B$7:$B$286,B278)=0,"",G278/SUMIFS($G$7:$G$286,$A$7:$A$286,A278,$B$7:$B$286,B278))</x:f>
        <x:v>0.004658042085650349</x:v>
      </x:c>
      <x:c r="L278" s="1"/>
      <x:c r="M278" s="1"/>
      <x:c r="N278" s="1"/>
      <x:c r="O278" s="1"/>
      <x:c r="P278" s="1"/>
      <x:c r="Q278" s="1"/>
    </x:row>
    <x:row r="279">
      <x:c r="A279" s="151" t="n">
        <x:v>46235</x:v>
      </x:c>
      <x:c r="B279" s="152" t="str">
        <x:v>假日</x:v>
      </x:c>
      <x:c r="C279" s="152" t="str">
        <x:v>15~17歲</x:v>
      </x:c>
      <x:c r="D279" s="40" t="n">
        <x:v>2075</x:v>
      </x:c>
      <x:c r="E279" s="40" t="n">
        <x:v>853</x:v>
      </x:c>
      <x:c r="F279" s="153" t="n">
        <x:v>0</x:v>
      </x:c>
      <x:c r="G279" s="154" t="n">
        <x:f>SUM(D279:F279)</x:f>
        <x:v>2928</x:v>
      </x:c>
      <x:c r="H279" s="155" t="n">
        <x:f>IF(SUMIFS($D$7:$D$286,$A$7:$A$286,A279,$B$7:$B$286,B279)=0,"",D279/SUMIFS($D$7:$D$286,$A$7:$A$286,A279,$B$7:$B$286,B279))</x:f>
        <x:v>0.023533281163167864</x:v>
      </x:c>
      <x:c r="I279" s="155" t="n">
        <x:f>IF(SUMIFS($E$7:$E$286,$A$7:$A$286,A279,$B$7:$B$286,B279)=0,"",E279/SUMIFS($E$7:$E$286,$A$7:$A$286,A279,$B$7:$B$286,B279))</x:f>
        <x:v>0.0176265162316864</x:v>
      </x:c>
      <x:c r="J279" s="155" t="n">
        <x:f>IF(SUMIFS($F$7:$F$286,$A$7:$A$286,A279,$B$7:$B$286,B279)=0,"",F279/SUMIFS($F$7:$F$286,$A$7:$A$286,A279,$B$7:$B$286,B279))</x:f>
        <x:v>0</x:v>
      </x:c>
      <x:c r="K279" s="155" t="n">
        <x:f>IF(SUMIFS($G$7:$G$286,$A$7:$A$286,A279,$B$7:$B$286,B279)=0,"",G279/SUMIFS($G$7:$G$286,$A$7:$A$286,A279,$B$7:$B$286,B279))</x:f>
        <x:v>0.009373709434215961</x:v>
      </x:c>
      <x:c r="L279" s="1"/>
      <x:c r="M279" s="1"/>
      <x:c r="N279" s="1"/>
      <x:c r="O279" s="1"/>
      <x:c r="P279" s="1"/>
      <x:c r="Q279" s="1"/>
    </x:row>
    <x:row r="280">
      <x:c r="A280" s="151" t="n">
        <x:v>46235</x:v>
      </x:c>
      <x:c r="B280" s="152" t="str">
        <x:v>假日</x:v>
      </x:c>
      <x:c r="C280" s="152" t="str">
        <x:v>18~24歲</x:v>
      </x:c>
      <x:c r="D280" s="40" t="n">
        <x:v>5196</x:v>
      </x:c>
      <x:c r="E280" s="40" t="n">
        <x:v>3866</x:v>
      </x:c>
      <x:c r="F280" s="153" t="n">
        <x:v>0</x:v>
      </x:c>
      <x:c r="G280" s="154" t="n">
        <x:f>SUM(D280:F280)</x:f>
        <x:v>9062</x:v>
      </x:c>
      <x:c r="H280" s="155" t="n">
        <x:f>IF(SUMIFS($D$7:$D$286,$A$7:$A$286,A280,$B$7:$B$286,B280)=0,"",D280/SUMIFS($D$7:$D$286,$A$7:$A$286,A280,$B$7:$B$286,B280))</x:f>
        <x:v>0.05892960430063625</x:v>
      </x:c>
      <x:c r="I280" s="155" t="n">
        <x:f>IF(SUMIFS($E$7:$E$286,$A$7:$A$286,A280,$B$7:$B$286,B280)=0,"",E280/SUMIFS($E$7:$E$286,$A$7:$A$286,A280,$B$7:$B$286,B280))</x:f>
        <x:v>0.07988758704771351</x:v>
      </x:c>
      <x:c r="J280" s="155" t="n">
        <x:f>IF(SUMIFS($F$7:$F$286,$A$7:$A$286,A280,$B$7:$B$286,B280)=0,"",F280/SUMIFS($F$7:$F$286,$A$7:$A$286,A280,$B$7:$B$286,B280))</x:f>
        <x:v>0</x:v>
      </x:c>
      <x:c r="K280" s="155" t="n">
        <x:f>IF(SUMIFS($G$7:$G$286,$A$7:$A$286,A280,$B$7:$B$286,B280)=0,"",G280/SUMIFS($G$7:$G$286,$A$7:$A$286,A280,$B$7:$B$286,B280))</x:f>
        <x:v>0.02901111847433915</x:v>
      </x:c>
      <x:c r="L280" s="1"/>
      <x:c r="M280" s="1"/>
      <x:c r="N280" s="1"/>
      <x:c r="O280" s="1"/>
      <x:c r="P280" s="1"/>
      <x:c r="Q280" s="1"/>
    </x:row>
    <x:row r="281">
      <x:c r="A281" s="151" t="n">
        <x:v>46235</x:v>
      </x:c>
      <x:c r="B281" s="152" t="str">
        <x:v>假日</x:v>
      </x:c>
      <x:c r="C281" s="152" t="str">
        <x:v>25~34歲</x:v>
      </x:c>
      <x:c r="D281" s="40" t="n">
        <x:v>12529</x:v>
      </x:c>
      <x:c r="E281" s="40" t="n">
        <x:v>9364</x:v>
      </x:c>
      <x:c r="F281" s="153" t="n">
        <x:v>0</x:v>
      </x:c>
      <x:c r="G281" s="154" t="n">
        <x:f>SUM(D281:F281)</x:f>
        <x:v>21893</x:v>
      </x:c>
      <x:c r="H281" s="155" t="n">
        <x:f>IF(SUMIFS($D$7:$D$286,$A$7:$A$286,A281,$B$7:$B$286,B281)=0,"",D281/SUMIFS($D$7:$D$286,$A$7:$A$286,A281,$B$7:$B$286,B281))</x:f>
        <x:v>0.1420956528642555</x:v>
      </x:c>
      <x:c r="I281" s="155" t="n">
        <x:f>IF(SUMIFS($E$7:$E$286,$A$7:$A$286,A281,$B$7:$B$286,B281)=0,"",E281/SUMIFS($E$7:$E$286,$A$7:$A$286,A281,$B$7:$B$286,B281))</x:f>
        <x:v>0.19349905978137333</x:v>
      </x:c>
      <x:c r="J281" s="155" t="n">
        <x:f>IF(SUMIFS($F$7:$F$286,$A$7:$A$286,A281,$B$7:$B$286,B281)=0,"",F281/SUMIFS($F$7:$F$286,$A$7:$A$286,A281,$B$7:$B$286,B281))</x:f>
        <x:v>0</x:v>
      </x:c>
      <x:c r="K281" s="155" t="n">
        <x:f>IF(SUMIFS($G$7:$G$286,$A$7:$A$286,A281,$B$7:$B$286,B281)=0,"",G281/SUMIFS($G$7:$G$286,$A$7:$A$286,A281,$B$7:$B$286,B281))</x:f>
        <x:v>0.07008832672243512</x:v>
      </x:c>
      <x:c r="L281" s="1"/>
      <x:c r="M281" s="1"/>
      <x:c r="N281" s="1"/>
      <x:c r="O281" s="1"/>
      <x:c r="P281" s="1"/>
      <x:c r="Q281" s="1"/>
    </x:row>
    <x:row r="282">
      <x:c r="A282" s="151" t="n">
        <x:v>46235</x:v>
      </x:c>
      <x:c r="B282" s="152" t="str">
        <x:v>假日</x:v>
      </x:c>
      <x:c r="C282" s="152" t="str">
        <x:v>35~44歲</x:v>
      </x:c>
      <x:c r="D282" s="40" t="n">
        <x:v>11757</x:v>
      </x:c>
      <x:c r="E282" s="40" t="n">
        <x:v>9084</x:v>
      </x:c>
      <x:c r="F282" s="153" t="n">
        <x:v>0</x:v>
      </x:c>
      <x:c r="G282" s="154" t="n">
        <x:f>SUM(D282:F282)</x:f>
        <x:v>20841</x:v>
      </x:c>
      <x:c r="H282" s="155" t="n">
        <x:f>IF(SUMIFS($D$7:$D$286,$A$7:$A$286,A282,$B$7:$B$286,B282)=0,"",D282/SUMIFS($D$7:$D$286,$A$7:$A$286,A282,$B$7:$B$286,B282))</x:f>
        <x:v>0.1333401381375251</x:v>
      </x:c>
      <x:c r="I282" s="155" t="n">
        <x:f>IF(SUMIFS($E$7:$E$286,$A$7:$A$286,A282,$B$7:$B$286,B282)=0,"",E282/SUMIFS($E$7:$E$286,$A$7:$A$286,A282,$B$7:$B$286,B282))</x:f>
        <x:v>0.18771309900192176</x:v>
      </x:c>
      <x:c r="J282" s="155" t="n">
        <x:f>IF(SUMIFS($F$7:$F$286,$A$7:$A$286,A282,$B$7:$B$286,B282)=0,"",F282/SUMIFS($F$7:$F$286,$A$7:$A$286,A282,$B$7:$B$286,B282))</x:f>
        <x:v>0</x:v>
      </x:c>
      <x:c r="K282" s="155" t="n">
        <x:f>IF(SUMIFS($G$7:$G$286,$A$7:$A$286,A282,$B$7:$B$286,B282)=0,"",G282/SUMIFS($G$7:$G$286,$A$7:$A$286,A282,$B$7:$B$286,B282))</x:f>
        <x:v>0.06672045024538757</x:v>
      </x:c>
      <x:c r="L282" s="1"/>
      <x:c r="M282" s="1"/>
      <x:c r="N282" s="1"/>
      <x:c r="O282" s="1"/>
      <x:c r="P282" s="1"/>
      <x:c r="Q282" s="1"/>
    </x:row>
    <x:row r="283">
      <x:c r="A283" s="151" t="n">
        <x:v>46235</x:v>
      </x:c>
      <x:c r="B283" s="152" t="str">
        <x:v>假日</x:v>
      </x:c>
      <x:c r="C283" s="152" t="str">
        <x:v>45~54歲</x:v>
      </x:c>
      <x:c r="D283" s="40" t="n">
        <x:v>10376</x:v>
      </x:c>
      <x:c r="E283" s="40" t="n">
        <x:v>8758</x:v>
      </x:c>
      <x:c r="F283" s="153" t="n">
        <x:v>0</x:v>
      </x:c>
      <x:c r="G283" s="154" t="n">
        <x:f>SUM(D283:F283)</x:f>
        <x:v>19134</x:v>
      </x:c>
      <x:c r="H283" s="155" t="n">
        <x:f>IF(SUMIFS($D$7:$D$286,$A$7:$A$286,A283,$B$7:$B$286,B283)=0,"",D283/SUMIFS($D$7:$D$286,$A$7:$A$286,A283,$B$7:$B$286,B283))</x:f>
        <x:v>0.11767774715615892</x:v>
      </x:c>
      <x:c r="I283" s="155" t="n">
        <x:f>IF(SUMIFS($E$7:$E$286,$A$7:$A$286,A283,$B$7:$B$286,B283)=0,"",E283/SUMIFS($E$7:$E$286,$A$7:$A$286,A283,$B$7:$B$286,B283))</x:f>
        <x:v>0.18097658752298887</x:v>
      </x:c>
      <x:c r="J283" s="155" t="n">
        <x:f>IF(SUMIFS($F$7:$F$286,$A$7:$A$286,A283,$B$7:$B$286,B283)=0,"",F283/SUMIFS($F$7:$F$286,$A$7:$A$286,A283,$B$7:$B$286,B283))</x:f>
        <x:v>0</x:v>
      </x:c>
      <x:c r="K283" s="155" t="n">
        <x:f>IF(SUMIFS($G$7:$G$286,$A$7:$A$286,A283,$B$7:$B$286,B283)=0,"",G283/SUMIFS($G$7:$G$286,$A$7:$A$286,A283,$B$7:$B$286,B283))</x:f>
        <x:v>0.06125565447892356</x:v>
      </x:c>
      <x:c r="L283" s="1"/>
      <x:c r="M283" s="1"/>
      <x:c r="N283" s="1"/>
      <x:c r="O283" s="1"/>
      <x:c r="P283" s="1"/>
      <x:c r="Q283" s="1"/>
    </x:row>
    <x:row r="284">
      <x:c r="A284" s="151" t="n">
        <x:v>46235</x:v>
      </x:c>
      <x:c r="B284" s="152" t="str">
        <x:v>假日</x:v>
      </x:c>
      <x:c r="C284" s="152" t="str">
        <x:v>55~64歲</x:v>
      </x:c>
      <x:c r="D284" s="40" t="n">
        <x:v>6563</x:v>
      </x:c>
      <x:c r="E284" s="40" t="n">
        <x:v>4805</x:v>
      </x:c>
      <x:c r="F284" s="153" t="n">
        <x:v>0</x:v>
      </x:c>
      <x:c r="G284" s="154" t="n">
        <x:f>SUM(D284:F284)</x:f>
        <x:v>11368</x:v>
      </x:c>
      <x:c r="H284" s="155" t="n">
        <x:f>IF(SUMIFS($D$7:$D$286,$A$7:$A$286,A284,$B$7:$B$286,B284)=0,"",D284/SUMIFS($D$7:$D$286,$A$7:$A$286,A284,$B$7:$B$286,B284))</x:f>
        <x:v>0.07443321651752804</x:v>
      </x:c>
      <x:c r="I284" s="155" t="n">
        <x:f>IF(SUMIFS($E$7:$E$286,$A$7:$A$286,A284,$B$7:$B$286,B284)=0,"",E284/SUMIFS($E$7:$E$286,$A$7:$A$286,A284,$B$7:$B$286,B284))</x:f>
        <x:v>0.09929121980451719</x:v>
      </x:c>
      <x:c r="J284" s="155" t="n">
        <x:f>IF(SUMIFS($F$7:$F$286,$A$7:$A$286,A284,$B$7:$B$286,B284)=0,"",F284/SUMIFS($F$7:$F$286,$A$7:$A$286,A284,$B$7:$B$286,B284))</x:f>
        <x:v>0</x:v>
      </x:c>
      <x:c r="K284" s="155" t="n">
        <x:f>IF(SUMIFS($G$7:$G$286,$A$7:$A$286,A284,$B$7:$B$286,B284)=0,"",G284/SUMIFS($G$7:$G$286,$A$7:$A$286,A284,$B$7:$B$286,B284))</x:f>
        <x:v>0.03639355493448328</x:v>
      </x:c>
      <x:c r="L284" s="1"/>
      <x:c r="M284" s="1"/>
      <x:c r="N284" s="1"/>
      <x:c r="O284" s="1"/>
      <x:c r="P284" s="1"/>
      <x:c r="Q284" s="1"/>
    </x:row>
    <x:row r="285">
      <x:c r="A285" s="151" t="n">
        <x:v>46235</x:v>
      </x:c>
      <x:c r="B285" s="152" t="str">
        <x:v>假日</x:v>
      </x:c>
      <x:c r="C285" s="152" t="str">
        <x:v>65~100歲</x:v>
      </x:c>
      <x:c r="D285" s="40" t="n">
        <x:v>38410</x:v>
      </x:c>
      <x:c r="E285" s="40" t="n">
        <x:v>11285</x:v>
      </x:c>
      <x:c r="F285" s="153" t="n">
        <x:v>0</x:v>
      </x:c>
      <x:c r="G285" s="154" t="n">
        <x:f>SUM(D285:F285)</x:f>
        <x:v>49695</x:v>
      </x:c>
      <x:c r="H285" s="155" t="n">
        <x:f>IF(SUMIFS($D$7:$D$286,$A$7:$A$286,A285,$B$7:$B$286,B285)=0,"",D285/SUMIFS($D$7:$D$286,$A$7:$A$286,A285,$B$7:$B$286,B285))</x:f>
        <x:v>0.43562088167579643</x:v>
      </x:c>
      <x:c r="I285" s="155" t="n">
        <x:f>IF(SUMIFS($E$7:$E$286,$A$7:$A$286,A285,$B$7:$B$286,B285)=0,"",E285/SUMIFS($E$7:$E$286,$A$7:$A$286,A285,$B$7:$B$286,B285))</x:f>
        <x:v>0.2331948835575393</x:v>
      </x:c>
      <x:c r="J285" s="155" t="n">
        <x:f>IF(SUMIFS($F$7:$F$286,$A$7:$A$286,A285,$B$7:$B$286,B285)=0,"",F285/SUMIFS($F$7:$F$286,$A$7:$A$286,A285,$B$7:$B$286,B285))</x:f>
        <x:v>0</x:v>
      </x:c>
      <x:c r="K285" s="155" t="n">
        <x:f>IF(SUMIFS($G$7:$G$286,$A$7:$A$286,A285,$B$7:$B$286,B285)=0,"",G285/SUMIFS($G$7:$G$286,$A$7:$A$286,A285,$B$7:$B$286,B285))</x:f>
        <x:v>0.15909374669855264</x:v>
      </x:c>
      <x:c r="L285" s="1"/>
      <x:c r="M285" s="1"/>
      <x:c r="N285" s="1"/>
      <x:c r="O285" s="1"/>
      <x:c r="P285" s="1"/>
      <x:c r="Q285" s="1"/>
    </x:row>
    <x:row r="286">
      <x:c r="A286" s="151" t="n">
        <x:v>46235</x:v>
      </x:c>
      <x:c r="B286" s="152" t="str">
        <x:v>假日</x:v>
      </x:c>
      <x:c r="C286" s="152" t="str">
        <x:v>未投保或資料有誤</x:v>
      </x:c>
      <x:c r="D286" s="40" t="n">
        <x:v>0</x:v>
      </x:c>
      <x:c r="E286" s="40" t="n">
        <x:v>0</x:v>
      </x:c>
      <x:c r="F286" s="153" t="n">
        <x:v>175797</x:v>
      </x:c>
      <x:c r="G286" s="154" t="n">
        <x:f>SUM(D286:F286)</x:f>
        <x:v>175797</x:v>
      </x:c>
      <x:c r="H286" s="155" t="n">
        <x:f>IF(SUMIFS($D$7:$D$286,$A$7:$A$286,A286,$B$7:$B$286,B286)=0,"",D286/SUMIFS($D$7:$D$286,$A$7:$A$286,A286,$B$7:$B$286,B286))</x:f>
        <x:v>0</x:v>
      </x:c>
      <x:c r="I286" s="155" t="n">
        <x:f>IF(SUMIFS($E$7:$E$286,$A$7:$A$286,A286,$B$7:$B$286,B286)=0,"",E286/SUMIFS($E$7:$E$286,$A$7:$A$286,A286,$B$7:$B$286,B286))</x:f>
        <x:v>0</x:v>
      </x:c>
      <x:c r="J286" s="155" t="n">
        <x:f>IF(SUMIFS($F$7:$F$286,$A$7:$A$286,A286,$B$7:$B$286,B286)=0,"",F286/SUMIFS($F$7:$F$286,$A$7:$A$286,A286,$B$7:$B$286,B286))</x:f>
        <x:v>1</x:v>
      </x:c>
      <x:c r="K286" s="155" t="n">
        <x:f>IF(SUMIFS($G$7:$G$286,$A$7:$A$286,A286,$B$7:$B$286,B286)=0,"",G286/SUMIFS($G$7:$G$286,$A$7:$A$286,A286,$B$7:$B$286,B286))</x:f>
        <x:v>0.5627971302619068</x:v>
      </x:c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B4:K4"/>
  </x:mergeCells>
  <x:pageMargins left="0.7" right="0.7" top="0.75" bottom="0.75" header="0.3" footer="0.3"/>
  <x:tableParts count="1">
    <x:tablePart xmlns:r="http://schemas.openxmlformats.org/officeDocument/2006/relationships" r:id="R4141562602b44f8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70" hidden="0" customWidth="1"/>
    <x:col min="3" max="3" width="27" hidden="0" customWidth="1"/>
    <x:col min="4" max="4" width="35" hidden="0" customWidth="1"/>
    <x:col min="5" max="5" width="12" hidden="0" customWidth="1"/>
    <x:col min="6" max="6" width="14" hidden="0" customWidth="1"/>
    <x:col min="7" max="7" width="14" hidden="0" customWidth="1"/>
  </x:cols>
  <x:sheetData>
    <x:row r="1" ht="30" customHeight="1">
      <x:c r="A1" s="170" t="str">
        <x:v>每日資料來源、欄位口徑與檢核</x:v>
      </x:c>
      <x:c r="B1" s="170"/>
      <x:c r="C1" s="170"/>
      <x:c r="D1" s="170"/>
      <x:c r="E1" s="170"/>
      <x:c r="F1" s="170"/>
      <x:c r="G1" s="170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75" t="str">
        <x:v>城市／項目</x:v>
      </x:c>
      <x:c r="B3" s="175" t="str">
        <x:v>說明</x:v>
      </x:c>
      <x:c r="C3" s="175" t="str">
        <x:v>結果</x:v>
      </x:c>
      <x:c r="D3" s="175" t="str">
        <x:v>檢核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76" t="str">
        <x:v>資料來源</x:v>
      </x:c>
      <x:c r="B4" s="176" t="str">
        <x:v>Report 平台／營運報表／營運管理日報 API</x:v>
      </x:c>
      <x:c r="C4" s="179" t="str">
        <x:v>Report API 端點（網址見註解）</x:v>
      </x:c>
      <x:c r="D4" s="179" t="str">
        <x:v>平台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77" t="str">
        <x:v>下載條件</x:v>
      </x:c>
      <x:c r="B5" s="177" t="str">
        <x:v>台北市、新北市；2.0 與 2.0E；按月擷取 API 原始表格</x:v>
      </x:c>
      <x:c r="C5" s="180" t="str">
        <x:v>60 份 JSON</x:v>
      </x:c>
      <x:c r="D5" s="180" t="str">
        <x:v>已匯入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77" t="str">
        <x:v>需求期間</x:v>
      </x:c>
      <x:c r="B6" s="177" t="str">
        <x:v>2025-07-01～2026-09-30</x:v>
      </x:c>
      <x:c r="C6" s="180" t="str">
        <x:v>457 日</x:v>
      </x:c>
      <x:c r="D6" s="180" t="str">
        <x:v>完整日期骨架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77" t="str">
        <x:v>台北市</x:v>
      </x:c>
      <x:c r="B7" s="177" t="str">
        <x:v>2025-07-01～2026-09-27</x:v>
      </x:c>
      <x:c r="C7" s="180" t="str">
        <x:v>454 日</x:v>
      </x:c>
      <x:c r="D7" s="180" t="str">
        <x:v>連續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77" t="str">
        <x:v>新北市</x:v>
      </x:c>
      <x:c r="B8" s="177" t="str">
        <x:v>2025-07-01～2026-09-27</x:v>
      </x:c>
      <x:c r="C8" s="180" t="str">
        <x:v>454 日</x:v>
      </x:c>
      <x:c r="D8" s="180" t="str">
        <x:v>連續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77" t="str">
        <x:v>雙北共同</x:v>
      </x:c>
      <x:c r="B9" s="177" t="str">
        <x:v>2025-07-01～2026-09-27</x:v>
      </x:c>
      <x:c r="C9" s="180" t="str">
        <x:v>454 日</x:v>
      </x:c>
      <x:c r="D9" s="180" t="str">
        <x:v>兩城市皆有完整數值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77" t="str">
        <x:v>2026-09</x:v>
      </x:c>
      <x:c r="B10" s="177" t="str">
        <x:v>允許當月來源檔僅含已發生日；未來日期保留列並留白</x:v>
      </x:c>
      <x:c r="C10" s="180" t="str">
        <x:v>台北：已匯入至9/27；新北：已匯入至9/27</x:v>
      </x:c>
      <x:c r="D10" s="180" t="str">
        <x:v>部分月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77" t="str">
        <x:v>總用量</x:v>
      </x:c>
      <x:c r="B11" s="177" t="str">
        <x:v>2.0次數＋2.0E次數</x:v>
      </x:c>
      <x:c r="C11" s="180" t="str">
        <x:v>城市表與雙北彙總皆用公式</x:v>
      </x:c>
      <x:c r="D11" s="180" t="str">
        <x:v>公式計算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77" t="str">
        <x:v>2.0合約車輛數</x:v>
      </x:c>
      <x:c r="B12" s="177" t="str">
        <x:v>2.0 日報「合約車輛數」</x:v>
      </x:c>
      <x:c r="C12" s="180" t="str">
        <x:v>直接取值</x:v>
      </x:c>
      <x:c r="D12" s="180" t="str">
        <x:v>欄位相符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77" t="str">
        <x:v>2.0E合約車輛數</x:v>
      </x:c>
      <x:c r="B13" s="177" t="str">
        <x:v>2.0E 日報未提供同名欄；依需求以「上線車輛數」填入</x:v>
      </x:c>
      <x:c r="C13" s="180" t="str">
        <x:v>直接取值</x:v>
      </x:c>
      <x:c r="D13" s="180" t="str">
        <x:v>已註記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77" t="str">
        <x:v>2.0E敬老愛心卡使用次數</x:v>
      </x:c>
      <x:c r="B14" s="177" t="str">
        <x:v>2.0E日報「敬老使用次數」；台北另與Google表單W欄勾稽，有差異時以W欄為準</x:v>
      </x:c>
      <x:c r="C14" s="180" t="str">
        <x:v>直接取值</x:v>
      </x:c>
      <x:c r="D14" s="180" t="str">
        <x:v>已註記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77" t="str">
        <x:v>敬老次數來源檢核</x:v>
      </x:c>
      <x:c r="B15" s="177" t="str">
        <x:v>台北9/1～9/23 Report與Google表單W欄逐日比對</x:v>
      </x:c>
      <x:c r="C15" s="180" t="str">
        <x:v>23/23相符</x:v>
      </x:c>
      <x:c r="D15" s="180" t="str">
        <x:v>通過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77" t="str">
        <x:v>雙北每日彙總</x:v>
      </x:c>
      <x:c r="B16" s="177" t="str">
        <x:v>台北與新北兩張城市表以同列日期直接連結；任一城市缺值時雙北合計留白</x:v>
      </x:c>
      <x:c r="C16" s="180" t="str">
        <x:v>公式連結</x:v>
      </x:c>
      <x:c r="D16" s="180" t="str">
        <x:v>可追溯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77" t="str">
        <x:v>重複日期</x:v>
      </x:c>
      <x:c r="B17" s="177" t="str">
        <x:v>匯入時檢查城市 × 系統 × 日期唯一</x:v>
      </x:c>
      <x:c r="C17" s="180" t="str">
        <x:v>0</x:v>
      </x:c>
      <x:c r="D17" s="180" t="str">
        <x:v>通過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78" t="str">
        <x:v>必要欄位空值</x:v>
      </x:c>
      <x:c r="B18" s="178" t="str">
        <x:v>各城市自 2025-07-01 至各自最新共同資料日的五項來源數值</x:v>
      </x:c>
      <x:c r="C18" s="181" t="str">
        <x:v>0</x:v>
      </x:c>
      <x:c r="D18" s="181" t="str">
        <x:v>通過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85" t="str">
        <x:v>城市</x:v>
      </x:c>
      <x:c r="B21" s="185" t="str">
        <x:v>系統</x:v>
      </x:c>
      <x:c r="C21" s="185" t="str">
        <x:v>月份</x:v>
      </x:c>
      <x:c r="D21" s="185" t="str">
        <x:v>Report API 原始 JSON</x:v>
      </x:c>
      <x:c r="E21" s="185" t="str">
        <x:v>資料日數</x:v>
      </x:c>
      <x:c r="F21" s="185" t="str">
        <x:v>首日</x:v>
      </x:c>
      <x:c r="G21" s="185" t="str">
        <x:v>末日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72" t="str">
        <x:v>台北市</x:v>
      </x:c>
      <x:c r="B22" s="172" t="str">
        <x:v>YB 2.0</x:v>
      </x:c>
      <x:c r="C22" s="172" t="str">
        <x:v>2025-07</x:v>
      </x:c>
      <x:c r="D22" s="172" t="str">
        <x:v>Report_台北_2.0_2025-07.json</x:v>
      </x:c>
      <x:c r="E22" s="186" t="n">
        <x:v>31</x:v>
      </x:c>
      <x:c r="F22" s="187" t="n">
        <x:v>45839</x:v>
      </x:c>
      <x:c r="G22" s="187" t="n">
        <x:v>45869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73" t="str">
        <x:v>台北市</x:v>
      </x:c>
      <x:c r="B23" s="173" t="str">
        <x:v>YB 2.0</x:v>
      </x:c>
      <x:c r="C23" s="173" t="str">
        <x:v>2025-08</x:v>
      </x:c>
      <x:c r="D23" s="173" t="str">
        <x:v>Report_台北_2.0_2025-08.json</x:v>
      </x:c>
      <x:c r="E23" s="188" t="n">
        <x:v>31</x:v>
      </x:c>
      <x:c r="F23" s="189" t="n">
        <x:v>45870</x:v>
      </x:c>
      <x:c r="G23" s="189" t="n">
        <x:v>45900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73" t="str">
        <x:v>台北市</x:v>
      </x:c>
      <x:c r="B24" s="173" t="str">
        <x:v>YB 2.0</x:v>
      </x:c>
      <x:c r="C24" s="173" t="str">
        <x:v>2025-09</x:v>
      </x:c>
      <x:c r="D24" s="173" t="str">
        <x:v>Report_台北_2.0_2025-09.json</x:v>
      </x:c>
      <x:c r="E24" s="188" t="n">
        <x:v>30</x:v>
      </x:c>
      <x:c r="F24" s="189" t="n">
        <x:v>45901</x:v>
      </x:c>
      <x:c r="G24" s="189" t="n">
        <x:v>45930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73" t="str">
        <x:v>台北市</x:v>
      </x:c>
      <x:c r="B25" s="173" t="str">
        <x:v>YB 2.0</x:v>
      </x:c>
      <x:c r="C25" s="173" t="str">
        <x:v>2025-10</x:v>
      </x:c>
      <x:c r="D25" s="173" t="str">
        <x:v>Report_台北_2.0_2025-10.json</x:v>
      </x:c>
      <x:c r="E25" s="188" t="n">
        <x:v>31</x:v>
      </x:c>
      <x:c r="F25" s="189" t="n">
        <x:v>45931</x:v>
      </x:c>
      <x:c r="G25" s="189" t="n">
        <x:v>45961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73" t="str">
        <x:v>台北市</x:v>
      </x:c>
      <x:c r="B26" s="173" t="str">
        <x:v>YB 2.0</x:v>
      </x:c>
      <x:c r="C26" s="173" t="str">
        <x:v>2025-11</x:v>
      </x:c>
      <x:c r="D26" s="173" t="str">
        <x:v>Report_台北_2.0_2025-11.json</x:v>
      </x:c>
      <x:c r="E26" s="188" t="n">
        <x:v>30</x:v>
      </x:c>
      <x:c r="F26" s="189" t="n">
        <x:v>45962</x:v>
      </x:c>
      <x:c r="G26" s="189" t="n">
        <x:v>45991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73" t="str">
        <x:v>台北市</x:v>
      </x:c>
      <x:c r="B27" s="173" t="str">
        <x:v>YB 2.0</x:v>
      </x:c>
      <x:c r="C27" s="173" t="str">
        <x:v>2025-12</x:v>
      </x:c>
      <x:c r="D27" s="173" t="str">
        <x:v>Report_台北_2.0_2025-12.json</x:v>
      </x:c>
      <x:c r="E27" s="188" t="n">
        <x:v>31</x:v>
      </x:c>
      <x:c r="F27" s="189" t="n">
        <x:v>45992</x:v>
      </x:c>
      <x:c r="G27" s="189" t="n">
        <x:v>46022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73" t="str">
        <x:v>台北市</x:v>
      </x:c>
      <x:c r="B28" s="173" t="str">
        <x:v>YB 2.0</x:v>
      </x:c>
      <x:c r="C28" s="173" t="str">
        <x:v>2026-01</x:v>
      </x:c>
      <x:c r="D28" s="173" t="str">
        <x:v>Report_台北_2.0_2026-01.json</x:v>
      </x:c>
      <x:c r="E28" s="188" t="n">
        <x:v>31</x:v>
      </x:c>
      <x:c r="F28" s="189" t="n">
        <x:v>46023</x:v>
      </x:c>
      <x:c r="G28" s="189" t="n">
        <x:v>46053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73" t="str">
        <x:v>台北市</x:v>
      </x:c>
      <x:c r="B29" s="173" t="str">
        <x:v>YB 2.0</x:v>
      </x:c>
      <x:c r="C29" s="173" t="str">
        <x:v>2026-02</x:v>
      </x:c>
      <x:c r="D29" s="173" t="str">
        <x:v>Report_台北_2.0_2026-02.json</x:v>
      </x:c>
      <x:c r="E29" s="188" t="n">
        <x:v>28</x:v>
      </x:c>
      <x:c r="F29" s="189" t="n">
        <x:v>46054</x:v>
      </x:c>
      <x:c r="G29" s="189" t="n">
        <x:v>46081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73" t="str">
        <x:v>台北市</x:v>
      </x:c>
      <x:c r="B30" s="173" t="str">
        <x:v>YB 2.0</x:v>
      </x:c>
      <x:c r="C30" s="173" t="str">
        <x:v>2026-03</x:v>
      </x:c>
      <x:c r="D30" s="173" t="str">
        <x:v>Report_台北_2.0_2026-03.json</x:v>
      </x:c>
      <x:c r="E30" s="188" t="n">
        <x:v>31</x:v>
      </x:c>
      <x:c r="F30" s="189" t="n">
        <x:v>46082</x:v>
      </x:c>
      <x:c r="G30" s="189" t="n">
        <x:v>46112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73" t="str">
        <x:v>台北市</x:v>
      </x:c>
      <x:c r="B31" s="173" t="str">
        <x:v>YB 2.0</x:v>
      </x:c>
      <x:c r="C31" s="173" t="str">
        <x:v>2026-04</x:v>
      </x:c>
      <x:c r="D31" s="173" t="str">
        <x:v>Report_台北_2.0_2026-04.json</x:v>
      </x:c>
      <x:c r="E31" s="188" t="n">
        <x:v>30</x:v>
      </x:c>
      <x:c r="F31" s="189" t="n">
        <x:v>46113</x:v>
      </x:c>
      <x:c r="G31" s="189" t="n">
        <x:v>46142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73" t="str">
        <x:v>台北市</x:v>
      </x:c>
      <x:c r="B32" s="173" t="str">
        <x:v>YB 2.0</x:v>
      </x:c>
      <x:c r="C32" s="173" t="str">
        <x:v>2026-05</x:v>
      </x:c>
      <x:c r="D32" s="173" t="str">
        <x:v>Report_台北_2.0_2026-05.json</x:v>
      </x:c>
      <x:c r="E32" s="188" t="n">
        <x:v>31</x:v>
      </x:c>
      <x:c r="F32" s="189" t="n">
        <x:v>46143</x:v>
      </x:c>
      <x:c r="G32" s="189" t="n">
        <x:v>46173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73" t="str">
        <x:v>台北市</x:v>
      </x:c>
      <x:c r="B33" s="173" t="str">
        <x:v>YB 2.0</x:v>
      </x:c>
      <x:c r="C33" s="173" t="str">
        <x:v>2026-06</x:v>
      </x:c>
      <x:c r="D33" s="173" t="str">
        <x:v>Report_台北_2.0_2026-06.json</x:v>
      </x:c>
      <x:c r="E33" s="188" t="n">
        <x:v>30</x:v>
      </x:c>
      <x:c r="F33" s="189" t="n">
        <x:v>46174</x:v>
      </x:c>
      <x:c r="G33" s="189" t="n">
        <x:v>46203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73" t="str">
        <x:v>台北市</x:v>
      </x:c>
      <x:c r="B34" s="173" t="str">
        <x:v>YB 2.0</x:v>
      </x:c>
      <x:c r="C34" s="173" t="str">
        <x:v>2026-07</x:v>
      </x:c>
      <x:c r="D34" s="173" t="str">
        <x:v>Report_台北_2.0_2026-07.json</x:v>
      </x:c>
      <x:c r="E34" s="188" t="n">
        <x:v>31</x:v>
      </x:c>
      <x:c r="F34" s="189" t="n">
        <x:v>46204</x:v>
      </x:c>
      <x:c r="G34" s="189" t="n">
        <x:v>46234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73" t="str">
        <x:v>台北市</x:v>
      </x:c>
      <x:c r="B35" s="173" t="str">
        <x:v>YB 2.0</x:v>
      </x:c>
      <x:c r="C35" s="173" t="str">
        <x:v>2026-08</x:v>
      </x:c>
      <x:c r="D35" s="173" t="str">
        <x:v>Report_台北_2.0_2026-08.json</x:v>
      </x:c>
      <x:c r="E35" s="188" t="n">
        <x:v>31</x:v>
      </x:c>
      <x:c r="F35" s="189" t="n">
        <x:v>46235</x:v>
      </x:c>
      <x:c r="G35" s="189" t="n">
        <x:v>46265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73" t="str">
        <x:v>台北市</x:v>
      </x:c>
      <x:c r="B36" s="173" t="str">
        <x:v>YB 2.0</x:v>
      </x:c>
      <x:c r="C36" s="173" t="str">
        <x:v>2026-09</x:v>
      </x:c>
      <x:c r="D36" s="173" t="str">
        <x:v>Report_台北_2.0_2026-09.json</x:v>
      </x:c>
      <x:c r="E36" s="188" t="n">
        <x:v>27</x:v>
      </x:c>
      <x:c r="F36" s="189" t="n">
        <x:v>46266</x:v>
      </x:c>
      <x:c r="G36" s="189" t="n">
        <x:v>46292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73" t="str">
        <x:v>台北市</x:v>
      </x:c>
      <x:c r="B37" s="173" t="str">
        <x:v>YB 2.0E</x:v>
      </x:c>
      <x:c r="C37" s="173" t="str">
        <x:v>2025-07</x:v>
      </x:c>
      <x:c r="D37" s="173" t="str">
        <x:v>Report_台北_2.0E_2025-07.json</x:v>
      </x:c>
      <x:c r="E37" s="188" t="n">
        <x:v>31</x:v>
      </x:c>
      <x:c r="F37" s="189" t="n">
        <x:v>45839</x:v>
      </x:c>
      <x:c r="G37" s="189" t="n">
        <x:v>45869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73" t="str">
        <x:v>台北市</x:v>
      </x:c>
      <x:c r="B38" s="173" t="str">
        <x:v>YB 2.0E</x:v>
      </x:c>
      <x:c r="C38" s="173" t="str">
        <x:v>2025-08</x:v>
      </x:c>
      <x:c r="D38" s="173" t="str">
        <x:v>Report_台北_2.0E_2025-08.json</x:v>
      </x:c>
      <x:c r="E38" s="188" t="n">
        <x:v>31</x:v>
      </x:c>
      <x:c r="F38" s="189" t="n">
        <x:v>45870</x:v>
      </x:c>
      <x:c r="G38" s="189" t="n">
        <x:v>45900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73" t="str">
        <x:v>台北市</x:v>
      </x:c>
      <x:c r="B39" s="173" t="str">
        <x:v>YB 2.0E</x:v>
      </x:c>
      <x:c r="C39" s="173" t="str">
        <x:v>2025-09</x:v>
      </x:c>
      <x:c r="D39" s="173" t="str">
        <x:v>Report_台北_2.0E_2025-09.json</x:v>
      </x:c>
      <x:c r="E39" s="188" t="n">
        <x:v>30</x:v>
      </x:c>
      <x:c r="F39" s="189" t="n">
        <x:v>45901</x:v>
      </x:c>
      <x:c r="G39" s="189" t="n">
        <x:v>45930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73" t="str">
        <x:v>台北市</x:v>
      </x:c>
      <x:c r="B40" s="173" t="str">
        <x:v>YB 2.0E</x:v>
      </x:c>
      <x:c r="C40" s="173" t="str">
        <x:v>2025-10</x:v>
      </x:c>
      <x:c r="D40" s="173" t="str">
        <x:v>Report_台北_2.0E_2025-10.json</x:v>
      </x:c>
      <x:c r="E40" s="188" t="n">
        <x:v>31</x:v>
      </x:c>
      <x:c r="F40" s="189" t="n">
        <x:v>45931</x:v>
      </x:c>
      <x:c r="G40" s="189" t="n">
        <x:v>45961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73" t="str">
        <x:v>台北市</x:v>
      </x:c>
      <x:c r="B41" s="173" t="str">
        <x:v>YB 2.0E</x:v>
      </x:c>
      <x:c r="C41" s="173" t="str">
        <x:v>2025-11</x:v>
      </x:c>
      <x:c r="D41" s="173" t="str">
        <x:v>Report_台北_2.0E_2025-11.json</x:v>
      </x:c>
      <x:c r="E41" s="188" t="n">
        <x:v>30</x:v>
      </x:c>
      <x:c r="F41" s="189" t="n">
        <x:v>45962</x:v>
      </x:c>
      <x:c r="G41" s="189" t="n">
        <x:v>45991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73" t="str">
        <x:v>台北市</x:v>
      </x:c>
      <x:c r="B42" s="173" t="str">
        <x:v>YB 2.0E</x:v>
      </x:c>
      <x:c r="C42" s="173" t="str">
        <x:v>2025-12</x:v>
      </x:c>
      <x:c r="D42" s="173" t="str">
        <x:v>Report_台北_2.0E_2025-12.json</x:v>
      </x:c>
      <x:c r="E42" s="188" t="n">
        <x:v>31</x:v>
      </x:c>
      <x:c r="F42" s="189" t="n">
        <x:v>45992</x:v>
      </x:c>
      <x:c r="G42" s="189" t="n">
        <x:v>46022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73" t="str">
        <x:v>台北市</x:v>
      </x:c>
      <x:c r="B43" s="173" t="str">
        <x:v>YB 2.0E</x:v>
      </x:c>
      <x:c r="C43" s="173" t="str">
        <x:v>2026-01</x:v>
      </x:c>
      <x:c r="D43" s="173" t="str">
        <x:v>Report_台北_2.0E_2026-01.json</x:v>
      </x:c>
      <x:c r="E43" s="188" t="n">
        <x:v>31</x:v>
      </x:c>
      <x:c r="F43" s="189" t="n">
        <x:v>46023</x:v>
      </x:c>
      <x:c r="G43" s="189" t="n">
        <x:v>46053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73" t="str">
        <x:v>台北市</x:v>
      </x:c>
      <x:c r="B44" s="173" t="str">
        <x:v>YB 2.0E</x:v>
      </x:c>
      <x:c r="C44" s="173" t="str">
        <x:v>2026-02</x:v>
      </x:c>
      <x:c r="D44" s="173" t="str">
        <x:v>Report_台北_2.0E_2026-02.json</x:v>
      </x:c>
      <x:c r="E44" s="188" t="n">
        <x:v>28</x:v>
      </x:c>
      <x:c r="F44" s="189" t="n">
        <x:v>46054</x:v>
      </x:c>
      <x:c r="G44" s="189" t="n">
        <x:v>46081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73" t="str">
        <x:v>台北市</x:v>
      </x:c>
      <x:c r="B45" s="173" t="str">
        <x:v>YB 2.0E</x:v>
      </x:c>
      <x:c r="C45" s="173" t="str">
        <x:v>2026-03</x:v>
      </x:c>
      <x:c r="D45" s="173" t="str">
        <x:v>Report_台北_2.0E_2026-03.json</x:v>
      </x:c>
      <x:c r="E45" s="188" t="n">
        <x:v>31</x:v>
      </x:c>
      <x:c r="F45" s="189" t="n">
        <x:v>46082</x:v>
      </x:c>
      <x:c r="G45" s="189" t="n">
        <x:v>46112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73" t="str">
        <x:v>台北市</x:v>
      </x:c>
      <x:c r="B46" s="173" t="str">
        <x:v>YB 2.0E</x:v>
      </x:c>
      <x:c r="C46" s="173" t="str">
        <x:v>2026-04</x:v>
      </x:c>
      <x:c r="D46" s="173" t="str">
        <x:v>Report_台北_2.0E_2026-04.json</x:v>
      </x:c>
      <x:c r="E46" s="188" t="n">
        <x:v>30</x:v>
      </x:c>
      <x:c r="F46" s="189" t="n">
        <x:v>46113</x:v>
      </x:c>
      <x:c r="G46" s="189" t="n">
        <x:v>46142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73" t="str">
        <x:v>台北市</x:v>
      </x:c>
      <x:c r="B47" s="173" t="str">
        <x:v>YB 2.0E</x:v>
      </x:c>
      <x:c r="C47" s="173" t="str">
        <x:v>2026-05</x:v>
      </x:c>
      <x:c r="D47" s="173" t="str">
        <x:v>Report_台北_2.0E_2026-05.json</x:v>
      </x:c>
      <x:c r="E47" s="188" t="n">
        <x:v>31</x:v>
      </x:c>
      <x:c r="F47" s="189" t="n">
        <x:v>46143</x:v>
      </x:c>
      <x:c r="G47" s="189" t="n">
        <x:v>46173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73" t="str">
        <x:v>台北市</x:v>
      </x:c>
      <x:c r="B48" s="173" t="str">
        <x:v>YB 2.0E</x:v>
      </x:c>
      <x:c r="C48" s="173" t="str">
        <x:v>2026-06</x:v>
      </x:c>
      <x:c r="D48" s="173" t="str">
        <x:v>Report_台北_2.0E_2026-06.json</x:v>
      </x:c>
      <x:c r="E48" s="188" t="n">
        <x:v>30</x:v>
      </x:c>
      <x:c r="F48" s="189" t="n">
        <x:v>46174</x:v>
      </x:c>
      <x:c r="G48" s="189" t="n">
        <x:v>46203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73" t="str">
        <x:v>台北市</x:v>
      </x:c>
      <x:c r="B49" s="173" t="str">
        <x:v>YB 2.0E</x:v>
      </x:c>
      <x:c r="C49" s="173" t="str">
        <x:v>2026-07</x:v>
      </x:c>
      <x:c r="D49" s="173" t="str">
        <x:v>Report_台北_2.0E_2026-07.json</x:v>
      </x:c>
      <x:c r="E49" s="188" t="n">
        <x:v>31</x:v>
      </x:c>
      <x:c r="F49" s="189" t="n">
        <x:v>46204</x:v>
      </x:c>
      <x:c r="G49" s="189" t="n">
        <x:v>46234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73" t="str">
        <x:v>台北市</x:v>
      </x:c>
      <x:c r="B50" s="173" t="str">
        <x:v>YB 2.0E</x:v>
      </x:c>
      <x:c r="C50" s="173" t="str">
        <x:v>2026-08</x:v>
      </x:c>
      <x:c r="D50" s="173" t="str">
        <x:v>Report_台北_2.0E_2026-08.json</x:v>
      </x:c>
      <x:c r="E50" s="188" t="n">
        <x:v>31</x:v>
      </x:c>
      <x:c r="F50" s="189" t="n">
        <x:v>46235</x:v>
      </x:c>
      <x:c r="G50" s="189" t="n">
        <x:v>46265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73" t="str">
        <x:v>台北市</x:v>
      </x:c>
      <x:c r="B51" s="173" t="str">
        <x:v>YB 2.0E</x:v>
      </x:c>
      <x:c r="C51" s="173" t="str">
        <x:v>2026-09</x:v>
      </x:c>
      <x:c r="D51" s="173" t="str">
        <x:v>Report_台北_2.0E_2026-09.json</x:v>
      </x:c>
      <x:c r="E51" s="188" t="n">
        <x:v>27</x:v>
      </x:c>
      <x:c r="F51" s="189" t="n">
        <x:v>46266</x:v>
      </x:c>
      <x:c r="G51" s="189" t="n">
        <x:v>46292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73" t="str">
        <x:v>新北市</x:v>
      </x:c>
      <x:c r="B52" s="173" t="str">
        <x:v>YB 2.0</x:v>
      </x:c>
      <x:c r="C52" s="173" t="str">
        <x:v>2025-07</x:v>
      </x:c>
      <x:c r="D52" s="173" t="str">
        <x:v>Report_新北_2.0_2025-07.json</x:v>
      </x:c>
      <x:c r="E52" s="188" t="n">
        <x:v>31</x:v>
      </x:c>
      <x:c r="F52" s="189" t="n">
        <x:v>45839</x:v>
      </x:c>
      <x:c r="G52" s="189" t="n">
        <x:v>45869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73" t="str">
        <x:v>新北市</x:v>
      </x:c>
      <x:c r="B53" s="173" t="str">
        <x:v>YB 2.0</x:v>
      </x:c>
      <x:c r="C53" s="173" t="str">
        <x:v>2025-08</x:v>
      </x:c>
      <x:c r="D53" s="173" t="str">
        <x:v>Report_新北_2.0_2025-08.json</x:v>
      </x:c>
      <x:c r="E53" s="188" t="n">
        <x:v>31</x:v>
      </x:c>
      <x:c r="F53" s="189" t="n">
        <x:v>45870</x:v>
      </x:c>
      <x:c r="G53" s="189" t="n">
        <x:v>45900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73" t="str">
        <x:v>新北市</x:v>
      </x:c>
      <x:c r="B54" s="173" t="str">
        <x:v>YB 2.0</x:v>
      </x:c>
      <x:c r="C54" s="173" t="str">
        <x:v>2025-09</x:v>
      </x:c>
      <x:c r="D54" s="173" t="str">
        <x:v>Report_新北_2.0_2025-09.json</x:v>
      </x:c>
      <x:c r="E54" s="188" t="n">
        <x:v>30</x:v>
      </x:c>
      <x:c r="F54" s="189" t="n">
        <x:v>45901</x:v>
      </x:c>
      <x:c r="G54" s="189" t="n">
        <x:v>45930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73" t="str">
        <x:v>新北市</x:v>
      </x:c>
      <x:c r="B55" s="173" t="str">
        <x:v>YB 2.0</x:v>
      </x:c>
      <x:c r="C55" s="173" t="str">
        <x:v>2025-10</x:v>
      </x:c>
      <x:c r="D55" s="173" t="str">
        <x:v>Report_新北_2.0_2025-10.json</x:v>
      </x:c>
      <x:c r="E55" s="188" t="n">
        <x:v>31</x:v>
      </x:c>
      <x:c r="F55" s="189" t="n">
        <x:v>45931</x:v>
      </x:c>
      <x:c r="G55" s="189" t="n">
        <x:v>45961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73" t="str">
        <x:v>新北市</x:v>
      </x:c>
      <x:c r="B56" s="173" t="str">
        <x:v>YB 2.0</x:v>
      </x:c>
      <x:c r="C56" s="173" t="str">
        <x:v>2025-11</x:v>
      </x:c>
      <x:c r="D56" s="173" t="str">
        <x:v>Report_新北_2.0_2025-11.json</x:v>
      </x:c>
      <x:c r="E56" s="188" t="n">
        <x:v>30</x:v>
      </x:c>
      <x:c r="F56" s="189" t="n">
        <x:v>45962</x:v>
      </x:c>
      <x:c r="G56" s="189" t="n">
        <x:v>45991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73" t="str">
        <x:v>新北市</x:v>
      </x:c>
      <x:c r="B57" s="173" t="str">
        <x:v>YB 2.0</x:v>
      </x:c>
      <x:c r="C57" s="173" t="str">
        <x:v>2025-12</x:v>
      </x:c>
      <x:c r="D57" s="173" t="str">
        <x:v>Report_新北_2.0_2025-12.json</x:v>
      </x:c>
      <x:c r="E57" s="188" t="n">
        <x:v>31</x:v>
      </x:c>
      <x:c r="F57" s="189" t="n">
        <x:v>45992</x:v>
      </x:c>
      <x:c r="G57" s="189" t="n">
        <x:v>46022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73" t="str">
        <x:v>新北市</x:v>
      </x:c>
      <x:c r="B58" s="173" t="str">
        <x:v>YB 2.0</x:v>
      </x:c>
      <x:c r="C58" s="173" t="str">
        <x:v>2026-01</x:v>
      </x:c>
      <x:c r="D58" s="173" t="str">
        <x:v>Report_新北_2.0_2026-01.json</x:v>
      </x:c>
      <x:c r="E58" s="188" t="n">
        <x:v>31</x:v>
      </x:c>
      <x:c r="F58" s="189" t="n">
        <x:v>46023</x:v>
      </x:c>
      <x:c r="G58" s="189" t="n">
        <x:v>46053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73" t="str">
        <x:v>新北市</x:v>
      </x:c>
      <x:c r="B59" s="173" t="str">
        <x:v>YB 2.0</x:v>
      </x:c>
      <x:c r="C59" s="173" t="str">
        <x:v>2026-02</x:v>
      </x:c>
      <x:c r="D59" s="173" t="str">
        <x:v>Report_新北_2.0_2026-02.json</x:v>
      </x:c>
      <x:c r="E59" s="188" t="n">
        <x:v>28</x:v>
      </x:c>
      <x:c r="F59" s="189" t="n">
        <x:v>46054</x:v>
      </x:c>
      <x:c r="G59" s="189" t="n">
        <x:v>46081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73" t="str">
        <x:v>新北市</x:v>
      </x:c>
      <x:c r="B60" s="173" t="str">
        <x:v>YB 2.0</x:v>
      </x:c>
      <x:c r="C60" s="173" t="str">
        <x:v>2026-03</x:v>
      </x:c>
      <x:c r="D60" s="173" t="str">
        <x:v>Report_新北_2.0_2026-03.json</x:v>
      </x:c>
      <x:c r="E60" s="188" t="n">
        <x:v>31</x:v>
      </x:c>
      <x:c r="F60" s="189" t="n">
        <x:v>46082</x:v>
      </x:c>
      <x:c r="G60" s="189" t="n">
        <x:v>46112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73" t="str">
        <x:v>新北市</x:v>
      </x:c>
      <x:c r="B61" s="173" t="str">
        <x:v>YB 2.0</x:v>
      </x:c>
      <x:c r="C61" s="173" t="str">
        <x:v>2026-04</x:v>
      </x:c>
      <x:c r="D61" s="173" t="str">
        <x:v>Report_新北_2.0_2026-04.json</x:v>
      </x:c>
      <x:c r="E61" s="188" t="n">
        <x:v>30</x:v>
      </x:c>
      <x:c r="F61" s="189" t="n">
        <x:v>46113</x:v>
      </x:c>
      <x:c r="G61" s="189" t="n">
        <x:v>46142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73" t="str">
        <x:v>新北市</x:v>
      </x:c>
      <x:c r="B62" s="173" t="str">
        <x:v>YB 2.0</x:v>
      </x:c>
      <x:c r="C62" s="173" t="str">
        <x:v>2026-05</x:v>
      </x:c>
      <x:c r="D62" s="173" t="str">
        <x:v>Report_新北_2.0_2026-05.json</x:v>
      </x:c>
      <x:c r="E62" s="188" t="n">
        <x:v>31</x:v>
      </x:c>
      <x:c r="F62" s="189" t="n">
        <x:v>46143</x:v>
      </x:c>
      <x:c r="G62" s="189" t="n">
        <x:v>46173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73" t="str">
        <x:v>新北市</x:v>
      </x:c>
      <x:c r="B63" s="173" t="str">
        <x:v>YB 2.0</x:v>
      </x:c>
      <x:c r="C63" s="173" t="str">
        <x:v>2026-06</x:v>
      </x:c>
      <x:c r="D63" s="173" t="str">
        <x:v>Report_新北_2.0_2026-06.json</x:v>
      </x:c>
      <x:c r="E63" s="188" t="n">
        <x:v>30</x:v>
      </x:c>
      <x:c r="F63" s="189" t="n">
        <x:v>46174</x:v>
      </x:c>
      <x:c r="G63" s="189" t="n">
        <x:v>46203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73" t="str">
        <x:v>新北市</x:v>
      </x:c>
      <x:c r="B64" s="173" t="str">
        <x:v>YB 2.0</x:v>
      </x:c>
      <x:c r="C64" s="173" t="str">
        <x:v>2026-07</x:v>
      </x:c>
      <x:c r="D64" s="173" t="str">
        <x:v>Report_新北_2.0_2026-07.json</x:v>
      </x:c>
      <x:c r="E64" s="188" t="n">
        <x:v>31</x:v>
      </x:c>
      <x:c r="F64" s="189" t="n">
        <x:v>46204</x:v>
      </x:c>
      <x:c r="G64" s="189" t="n">
        <x:v>46234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73" t="str">
        <x:v>新北市</x:v>
      </x:c>
      <x:c r="B65" s="173" t="str">
        <x:v>YB 2.0</x:v>
      </x:c>
      <x:c r="C65" s="173" t="str">
        <x:v>2026-08</x:v>
      </x:c>
      <x:c r="D65" s="173" t="str">
        <x:v>Report_新北_2.0_2026-08.json</x:v>
      </x:c>
      <x:c r="E65" s="188" t="n">
        <x:v>31</x:v>
      </x:c>
      <x:c r="F65" s="189" t="n">
        <x:v>46235</x:v>
      </x:c>
      <x:c r="G65" s="189" t="n">
        <x:v>46265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73" t="str">
        <x:v>新北市</x:v>
      </x:c>
      <x:c r="B66" s="173" t="str">
        <x:v>YB 2.0</x:v>
      </x:c>
      <x:c r="C66" s="173" t="str">
        <x:v>2026-09</x:v>
      </x:c>
      <x:c r="D66" s="173" t="str">
        <x:v>Report_新北_2.0_2026-09.json</x:v>
      </x:c>
      <x:c r="E66" s="188" t="n">
        <x:v>27</x:v>
      </x:c>
      <x:c r="F66" s="189" t="n">
        <x:v>46266</x:v>
      </x:c>
      <x:c r="G66" s="189" t="n">
        <x:v>46292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73" t="str">
        <x:v>新北市</x:v>
      </x:c>
      <x:c r="B67" s="173" t="str">
        <x:v>YB 2.0E</x:v>
      </x:c>
      <x:c r="C67" s="173" t="str">
        <x:v>2025-07</x:v>
      </x:c>
      <x:c r="D67" s="173" t="str">
        <x:v>Report_新北_2.0E_2025-07.json</x:v>
      </x:c>
      <x:c r="E67" s="188" t="n">
        <x:v>31</x:v>
      </x:c>
      <x:c r="F67" s="189" t="n">
        <x:v>45839</x:v>
      </x:c>
      <x:c r="G67" s="189" t="n">
        <x:v>45869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73" t="str">
        <x:v>新北市</x:v>
      </x:c>
      <x:c r="B68" s="173" t="str">
        <x:v>YB 2.0E</x:v>
      </x:c>
      <x:c r="C68" s="173" t="str">
        <x:v>2025-08</x:v>
      </x:c>
      <x:c r="D68" s="173" t="str">
        <x:v>Report_新北_2.0E_2025-08.json</x:v>
      </x:c>
      <x:c r="E68" s="188" t="n">
        <x:v>31</x:v>
      </x:c>
      <x:c r="F68" s="189" t="n">
        <x:v>45870</x:v>
      </x:c>
      <x:c r="G68" s="189" t="n">
        <x:v>45900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73" t="str">
        <x:v>新北市</x:v>
      </x:c>
      <x:c r="B69" s="173" t="str">
        <x:v>YB 2.0E</x:v>
      </x:c>
      <x:c r="C69" s="173" t="str">
        <x:v>2025-09</x:v>
      </x:c>
      <x:c r="D69" s="173" t="str">
        <x:v>Report_新北_2.0E_2025-09.json</x:v>
      </x:c>
      <x:c r="E69" s="188" t="n">
        <x:v>30</x:v>
      </x:c>
      <x:c r="F69" s="189" t="n">
        <x:v>45901</x:v>
      </x:c>
      <x:c r="G69" s="189" t="n">
        <x:v>45930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73" t="str">
        <x:v>新北市</x:v>
      </x:c>
      <x:c r="B70" s="173" t="str">
        <x:v>YB 2.0E</x:v>
      </x:c>
      <x:c r="C70" s="173" t="str">
        <x:v>2025-10</x:v>
      </x:c>
      <x:c r="D70" s="173" t="str">
        <x:v>Report_新北_2.0E_2025-10.json</x:v>
      </x:c>
      <x:c r="E70" s="188" t="n">
        <x:v>31</x:v>
      </x:c>
      <x:c r="F70" s="189" t="n">
        <x:v>45931</x:v>
      </x:c>
      <x:c r="G70" s="189" t="n">
        <x:v>45961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73" t="str">
        <x:v>新北市</x:v>
      </x:c>
      <x:c r="B71" s="173" t="str">
        <x:v>YB 2.0E</x:v>
      </x:c>
      <x:c r="C71" s="173" t="str">
        <x:v>2025-11</x:v>
      </x:c>
      <x:c r="D71" s="173" t="str">
        <x:v>Report_新北_2.0E_2025-11.json</x:v>
      </x:c>
      <x:c r="E71" s="188" t="n">
        <x:v>30</x:v>
      </x:c>
      <x:c r="F71" s="189" t="n">
        <x:v>45962</x:v>
      </x:c>
      <x:c r="G71" s="189" t="n">
        <x:v>45991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73" t="str">
        <x:v>新北市</x:v>
      </x:c>
      <x:c r="B72" s="173" t="str">
        <x:v>YB 2.0E</x:v>
      </x:c>
      <x:c r="C72" s="173" t="str">
        <x:v>2025-12</x:v>
      </x:c>
      <x:c r="D72" s="173" t="str">
        <x:v>Report_新北_2.0E_2025-12.json</x:v>
      </x:c>
      <x:c r="E72" s="188" t="n">
        <x:v>31</x:v>
      </x:c>
      <x:c r="F72" s="189" t="n">
        <x:v>45992</x:v>
      </x:c>
      <x:c r="G72" s="189" t="n">
        <x:v>46022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73" t="str">
        <x:v>新北市</x:v>
      </x:c>
      <x:c r="B73" s="173" t="str">
        <x:v>YB 2.0E</x:v>
      </x:c>
      <x:c r="C73" s="173" t="str">
        <x:v>2026-01</x:v>
      </x:c>
      <x:c r="D73" s="173" t="str">
        <x:v>Report_新北_2.0E_2026-01.json</x:v>
      </x:c>
      <x:c r="E73" s="188" t="n">
        <x:v>31</x:v>
      </x:c>
      <x:c r="F73" s="189" t="n">
        <x:v>46023</x:v>
      </x:c>
      <x:c r="G73" s="189" t="n">
        <x:v>46053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73" t="str">
        <x:v>新北市</x:v>
      </x:c>
      <x:c r="B74" s="173" t="str">
        <x:v>YB 2.0E</x:v>
      </x:c>
      <x:c r="C74" s="173" t="str">
        <x:v>2026-02</x:v>
      </x:c>
      <x:c r="D74" s="173" t="str">
        <x:v>Report_新北_2.0E_2026-02.json</x:v>
      </x:c>
      <x:c r="E74" s="188" t="n">
        <x:v>28</x:v>
      </x:c>
      <x:c r="F74" s="189" t="n">
        <x:v>46054</x:v>
      </x:c>
      <x:c r="G74" s="189" t="n">
        <x:v>46081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73" t="str">
        <x:v>新北市</x:v>
      </x:c>
      <x:c r="B75" s="173" t="str">
        <x:v>YB 2.0E</x:v>
      </x:c>
      <x:c r="C75" s="173" t="str">
        <x:v>2026-03</x:v>
      </x:c>
      <x:c r="D75" s="173" t="str">
        <x:v>Report_新北_2.0E_2026-03.json</x:v>
      </x:c>
      <x:c r="E75" s="188" t="n">
        <x:v>31</x:v>
      </x:c>
      <x:c r="F75" s="189" t="n">
        <x:v>46082</x:v>
      </x:c>
      <x:c r="G75" s="189" t="n">
        <x:v>46112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73" t="str">
        <x:v>新北市</x:v>
      </x:c>
      <x:c r="B76" s="173" t="str">
        <x:v>YB 2.0E</x:v>
      </x:c>
      <x:c r="C76" s="173" t="str">
        <x:v>2026-04</x:v>
      </x:c>
      <x:c r="D76" s="173" t="str">
        <x:v>Report_新北_2.0E_2026-04.json</x:v>
      </x:c>
      <x:c r="E76" s="188" t="n">
        <x:v>30</x:v>
      </x:c>
      <x:c r="F76" s="189" t="n">
        <x:v>46113</x:v>
      </x:c>
      <x:c r="G76" s="189" t="n">
        <x:v>46142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73" t="str">
        <x:v>新北市</x:v>
      </x:c>
      <x:c r="B77" s="173" t="str">
        <x:v>YB 2.0E</x:v>
      </x:c>
      <x:c r="C77" s="173" t="str">
        <x:v>2026-05</x:v>
      </x:c>
      <x:c r="D77" s="173" t="str">
        <x:v>Report_新北_2.0E_2026-05.json</x:v>
      </x:c>
      <x:c r="E77" s="188" t="n">
        <x:v>31</x:v>
      </x:c>
      <x:c r="F77" s="189" t="n">
        <x:v>46143</x:v>
      </x:c>
      <x:c r="G77" s="189" t="n">
        <x:v>46173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73" t="str">
        <x:v>新北市</x:v>
      </x:c>
      <x:c r="B78" s="173" t="str">
        <x:v>YB 2.0E</x:v>
      </x:c>
      <x:c r="C78" s="173" t="str">
        <x:v>2026-06</x:v>
      </x:c>
      <x:c r="D78" s="173" t="str">
        <x:v>Report_新北_2.0E_2026-06.json</x:v>
      </x:c>
      <x:c r="E78" s="188" t="n">
        <x:v>30</x:v>
      </x:c>
      <x:c r="F78" s="189" t="n">
        <x:v>46174</x:v>
      </x:c>
      <x:c r="G78" s="189" t="n">
        <x:v>46203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73" t="str">
        <x:v>新北市</x:v>
      </x:c>
      <x:c r="B79" s="173" t="str">
        <x:v>YB 2.0E</x:v>
      </x:c>
      <x:c r="C79" s="173" t="str">
        <x:v>2026-07</x:v>
      </x:c>
      <x:c r="D79" s="173" t="str">
        <x:v>Report_新北_2.0E_2026-07.json</x:v>
      </x:c>
      <x:c r="E79" s="188" t="n">
        <x:v>31</x:v>
      </x:c>
      <x:c r="F79" s="189" t="n">
        <x:v>46204</x:v>
      </x:c>
      <x:c r="G79" s="189" t="n">
        <x:v>46234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73" t="str">
        <x:v>新北市</x:v>
      </x:c>
      <x:c r="B80" s="173" t="str">
        <x:v>YB 2.0E</x:v>
      </x:c>
      <x:c r="C80" s="173" t="str">
        <x:v>2026-08</x:v>
      </x:c>
      <x:c r="D80" s="173" t="str">
        <x:v>Report_新北_2.0E_2026-08.json</x:v>
      </x:c>
      <x:c r="E80" s="188" t="n">
        <x:v>31</x:v>
      </x:c>
      <x:c r="F80" s="189" t="n">
        <x:v>46235</x:v>
      </x:c>
      <x:c r="G80" s="189" t="n">
        <x:v>46265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74" t="str">
        <x:v>新北市</x:v>
      </x:c>
      <x:c r="B81" s="174" t="str">
        <x:v>YB 2.0E</x:v>
      </x:c>
      <x:c r="C81" s="174" t="str">
        <x:v>2026-09</x:v>
      </x:c>
      <x:c r="D81" s="174" t="str">
        <x:v>Report_新北_2.0E_2026-09.json</x:v>
      </x:c>
      <x:c r="E81" s="190" t="n">
        <x:v>27</x:v>
      </x:c>
      <x:c r="F81" s="191" t="n">
        <x:v>46266</x:v>
      </x:c>
      <x:c r="G81" s="191" t="n">
        <x:v>46292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b8f36e4ad5134d34"/>
  <x:tableParts count="2">
    <x:tablePart xmlns:r="http://schemas.openxmlformats.org/officeDocument/2006/relationships" r:id="R3099a2d65f4a4d3e"/>
    <x:tablePart xmlns:r="http://schemas.openxmlformats.org/officeDocument/2006/relationships" r:id="R3ebc222a80f4434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20" topLeftCell="A21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</x:cols>
  <x:sheetData>
    <x:row r="1" ht="30" customHeight="1">
      <x:c r="A1" s="63" t="str">
        <x:v>性別年齡資料來源與檢核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65" t="str">
        <x:v>雙北 2.0E 性別 × 年齡 × 平假日月別資料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61"/>
      <x:c r="B3" s="61"/>
      <x:c r="C3" s="61"/>
      <x:c r="D3" s="61"/>
      <x:c r="E3" s="61"/>
      <x:c r="F3" s="61"/>
      <x:c r="G3" s="6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98" t="str">
        <x:v>項目</x:v>
      </x:c>
      <x:c r="B4" s="199" t="str">
        <x:v>設定／說明</x:v>
      </x:c>
      <x:c r="C4" s="200" t="str">
        <x:v>結果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201" t="str">
        <x:v>資料來源</x:v>
      </x:c>
      <x:c r="B5" s="138" t="str">
        <x:v>Looker Studio 報表（網址見註解）</x:v>
      </x:c>
      <x:c r="C5" s="91" t="str">
        <x:v>Looker Studio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202" t="str">
        <x:v>系統</x:v>
      </x:c>
      <x:c r="B6" s="139" t="str">
        <x:v>2.0E</x:v>
      </x:c>
      <x:c r="C6" s="93" t="str">
        <x:v>已套用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202" t="str">
        <x:v>城市</x:v>
      </x:c>
      <x:c r="B7" s="139" t="str">
        <x:v>台北市、新北市</x:v>
      </x:c>
      <x:c r="C7" s="93" t="str">
        <x:v>2 城市合計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202" t="str">
        <x:v>平假日</x:v>
      </x:c>
      <x:c r="B8" s="139" t="str">
        <x:v>平日、假日</x:v>
      </x:c>
      <x:c r="C8" s="93" t="str">
        <x:v>分開擷取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202" t="str">
        <x:v>期間</x:v>
      </x:c>
      <x:c r="B9" s="139" t="str">
        <x:v>2025-07 至 2026-08</x:v>
      </x:c>
      <x:c r="C9" s="93" t="str">
        <x:v>14 個月份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6" hidden="0" customHeight="1">
      <x:c r="A10" s="202" t="str">
        <x:v>年齡分類</x:v>
      </x:c>
      <x:c r="B10" s="139" t="str">
        <x:v>08~11歲、12~14歲、15~17歲、18~24歲、25~34歲、35~44歲、45~54歲、55~64歲、65~100歲、未投保或資料有誤</x:v>
      </x:c>
      <x:c r="C10" s="93" t="str">
        <x:v>10 類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202" t="str">
        <x:v>性別分類</x:v>
      </x:c>
      <x:c r="B11" s="139" t="str">
        <x:v>男、女、未投保或資料有誤</x:v>
      </x:c>
      <x:c r="C11" s="93" t="str">
        <x:v>3 類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202" t="str">
        <x:v>數值口徑</x:v>
      </x:c>
      <x:c r="B12" s="139" t="str">
        <x:v>Looker Studio 圖表的本月租借次數</x:v>
      </x:c>
      <x:c r="C12" s="93" t="str">
        <x:v>不是人數或卡片數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4" hidden="0" customHeight="1">
      <x:c r="A13" s="202" t="str">
        <x:v>未知資料</x:v>
      </x:c>
      <x:c r="B13" s="139" t="str">
        <x:v>來源交叉表將未知性別數集中於「未投保或資料有誤」年齡列</x:v>
      </x:c>
      <x:c r="C13" s="93" t="str">
        <x:v>保留原值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202" t="str">
        <x:v>擷取日期</x:v>
      </x:c>
      <x:c r="B14" s="139" t="str">
        <x:v>2026-09-04</x:v>
      </x:c>
      <x:c r="C14" s="93" t="str">
        <x:v>Asia/Taipei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202" t="str">
        <x:v>資料列</x:v>
      </x:c>
      <x:c r="B15" s="139" t="str">
        <x:v>280</x:v>
      </x:c>
      <x:c r="C15" s="93" t="str">
        <x:v>14 月 × 2 類日別 × 10 年齡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202" t="str">
        <x:v>交叉表合計</x:v>
      </x:c>
      <x:c r="B16" s="139" t="str">
        <x:v>逐月逐平假日核對年齡交叉表欄合計與性別圓餅圖合計</x:v>
      </x:c>
      <x:c r="C16" s="93" t="str">
        <x:v>28/28 相符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203" t="str">
        <x:v>平日重複擷取</x:v>
      </x:c>
      <x:c r="B17" s="140" t="str">
        <x:v>全期間重新擷取一次並逐列比對</x:v>
      </x:c>
      <x:c r="C17" s="204" t="str">
        <x:v>完全相符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206" t="str">
        <x:v>月份</x:v>
      </x:c>
      <x:c r="B20" s="206" t="str">
        <x:v>平假日</x:v>
      </x:c>
      <x:c r="C20" s="206" t="str">
        <x:v>男合計</x:v>
      </x:c>
      <x:c r="D20" s="206" t="str">
        <x:v>女合計</x:v>
      </x:c>
      <x:c r="E20" s="206" t="str">
        <x:v>未知性別合計</x:v>
      </x:c>
      <x:c r="F20" s="206" t="str">
        <x:v>交叉表合計</x:v>
      </x:c>
      <x:c r="G20" s="206" t="str">
        <x:v>檢核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 t="str">
        <x:v>2025-07</x:v>
      </x:c>
      <x:c r="B21" s="1" t="str">
        <x:v>平日</x:v>
      </x:c>
      <x:c r="C21" s="38" t="n">
        <x:v>154500</x:v>
      </x:c>
      <x:c r="D21" s="38" t="n">
        <x:v>109559</x:v>
      </x:c>
      <x:c r="E21" s="38" t="n">
        <x:v>112319</x:v>
      </x:c>
      <x:c r="F21" s="38" t="n">
        <x:v>376378</x:v>
      </x:c>
      <x:c r="G21" s="207" t="str">
        <x:v>相符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 t="str">
        <x:v>2025-08</x:v>
      </x:c>
      <x:c r="B22" s="1" t="str">
        <x:v>平日</x:v>
      </x:c>
      <x:c r="C22" s="38" t="n">
        <x:v>156937</x:v>
      </x:c>
      <x:c r="D22" s="38" t="n">
        <x:v>113654</x:v>
      </x:c>
      <x:c r="E22" s="38" t="n">
        <x:v>134962</x:v>
      </x:c>
      <x:c r="F22" s="38" t="n">
        <x:v>405553</x:v>
      </x:c>
      <x:c r="G22" s="207" t="str">
        <x:v>相符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 t="str">
        <x:v>2025-09</x:v>
      </x:c>
      <x:c r="B23" s="1" t="str">
        <x:v>平日</x:v>
      </x:c>
      <x:c r="C23" s="38" t="n">
        <x:v>176639</x:v>
      </x:c>
      <x:c r="D23" s="38" t="n">
        <x:v>129712</x:v>
      </x:c>
      <x:c r="E23" s="38" t="n">
        <x:v>174293</x:v>
      </x:c>
      <x:c r="F23" s="38" t="n">
        <x:v>480644</x:v>
      </x:c>
      <x:c r="G23" s="207" t="str">
        <x:v>相符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 t="str">
        <x:v>2025-10</x:v>
      </x:c>
      <x:c r="B24" s="1" t="str">
        <x:v>平日</x:v>
      </x:c>
      <x:c r="C24" s="38" t="n">
        <x:v>146703</x:v>
      </x:c>
      <x:c r="D24" s="38" t="n">
        <x:v>104900</x:v>
      </x:c>
      <x:c r="E24" s="38" t="n">
        <x:v>162262</x:v>
      </x:c>
      <x:c r="F24" s="38" t="n">
        <x:v>413865</x:v>
      </x:c>
      <x:c r="G24" s="207" t="str">
        <x:v>相符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 t="str">
        <x:v>2025-11</x:v>
      </x:c>
      <x:c r="B25" s="1" t="str">
        <x:v>平日</x:v>
      </x:c>
      <x:c r="C25" s="38" t="n">
        <x:v>121802</x:v>
      </x:c>
      <x:c r="D25" s="38" t="n">
        <x:v>89459</x:v>
      </x:c>
      <x:c r="E25" s="38" t="n">
        <x:v>147324</x:v>
      </x:c>
      <x:c r="F25" s="38" t="n">
        <x:v>358585</x:v>
      </x:c>
      <x:c r="G25" s="207" t="str">
        <x:v>相符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 t="str">
        <x:v>2025-12</x:v>
      </x:c>
      <x:c r="B26" s="1" t="str">
        <x:v>平日</x:v>
      </x:c>
      <x:c r="C26" s="38" t="n">
        <x:v>153315</x:v>
      </x:c>
      <x:c r="D26" s="38" t="n">
        <x:v>111910</x:v>
      </x:c>
      <x:c r="E26" s="38" t="n">
        <x:v>201996</x:v>
      </x:c>
      <x:c r="F26" s="38" t="n">
        <x:v>467221</x:v>
      </x:c>
      <x:c r="G26" s="207" t="str">
        <x:v>相符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 t="str">
        <x:v>2026-01</x:v>
      </x:c>
      <x:c r="B27" s="1" t="str">
        <x:v>平日</x:v>
      </x:c>
      <x:c r="C27" s="38" t="n">
        <x:v>132380</x:v>
      </x:c>
      <x:c r="D27" s="38" t="n">
        <x:v>96242</x:v>
      </x:c>
      <x:c r="E27" s="38" t="n">
        <x:v>199475</x:v>
      </x:c>
      <x:c r="F27" s="38" t="n">
        <x:v>428097</x:v>
      </x:c>
      <x:c r="G27" s="207" t="str">
        <x:v>相符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 t="str">
        <x:v>2026-02</x:v>
      </x:c>
      <x:c r="B28" s="1" t="str">
        <x:v>平日</x:v>
      </x:c>
      <x:c r="C28" s="38" t="n">
        <x:v>128368</x:v>
      </x:c>
      <x:c r="D28" s="38" t="n">
        <x:v>90851</x:v>
      </x:c>
      <x:c r="E28" s="38" t="n">
        <x:v>205966</x:v>
      </x:c>
      <x:c r="F28" s="38" t="n">
        <x:v>425185</x:v>
      </x:c>
      <x:c r="G28" s="207" t="str">
        <x:v>相符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 t="str">
        <x:v>2026-03</x:v>
      </x:c>
      <x:c r="B29" s="1" t="str">
        <x:v>平日</x:v>
      </x:c>
      <x:c r="C29" s="38" t="n">
        <x:v>148909</x:v>
      </x:c>
      <x:c r="D29" s="38" t="n">
        <x:v>111974</x:v>
      </x:c>
      <x:c r="E29" s="38" t="n">
        <x:v>269314</x:v>
      </x:c>
      <x:c r="F29" s="38" t="n">
        <x:v>530197</x:v>
      </x:c>
      <x:c r="G29" s="207" t="str">
        <x:v>相符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 t="str">
        <x:v>2026-04</x:v>
      </x:c>
      <x:c r="B30" s="1" t="str">
        <x:v>平日</x:v>
      </x:c>
      <x:c r="C30" s="38" t="n">
        <x:v>143617</x:v>
      </x:c>
      <x:c r="D30" s="38" t="n">
        <x:v>109583</x:v>
      </x:c>
      <x:c r="E30" s="38" t="n">
        <x:v>285961</x:v>
      </x:c>
      <x:c r="F30" s="38" t="n">
        <x:v>539161</x:v>
      </x:c>
      <x:c r="G30" s="207" t="str">
        <x:v>相符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 t="str">
        <x:v>2026-05</x:v>
      </x:c>
      <x:c r="B31" s="1" t="str">
        <x:v>平日</x:v>
      </x:c>
      <x:c r="C31" s="38" t="n">
        <x:v>149665</x:v>
      </x:c>
      <x:c r="D31" s="38" t="n">
        <x:v>116212</x:v>
      </x:c>
      <x:c r="E31" s="38" t="n">
        <x:v>319069</x:v>
      </x:c>
      <x:c r="F31" s="38" t="n">
        <x:v>584946</x:v>
      </x:c>
      <x:c r="G31" s="207" t="str">
        <x:v>相符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 t="str">
        <x:v>2026-06</x:v>
      </x:c>
      <x:c r="B32" s="1" t="str">
        <x:v>平日</x:v>
      </x:c>
      <x:c r="C32" s="38" t="n">
        <x:v>131503</x:v>
      </x:c>
      <x:c r="D32" s="38" t="n">
        <x:v>96784</x:v>
      </x:c>
      <x:c r="E32" s="38" t="n">
        <x:v>291642</x:v>
      </x:c>
      <x:c r="F32" s="38" t="n">
        <x:v>519929</x:v>
      </x:c>
      <x:c r="G32" s="207" t="str">
        <x:v>相符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 t="str">
        <x:v>2026-07</x:v>
      </x:c>
      <x:c r="B33" s="1" t="str">
        <x:v>平日</x:v>
      </x:c>
      <x:c r="C33" s="38" t="n">
        <x:v>221670</x:v>
      </x:c>
      <x:c r="D33" s="38" t="n">
        <x:v>137971</x:v>
      </x:c>
      <x:c r="E33" s="38" t="n">
        <x:v>443240</x:v>
      </x:c>
      <x:c r="F33" s="38" t="n">
        <x:v>802881</x:v>
      </x:c>
      <x:c r="G33" s="207" t="str">
        <x:v>相符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 t="str">
        <x:v>2026-08</x:v>
      </x:c>
      <x:c r="B34" s="1" t="str">
        <x:v>平日</x:v>
      </x:c>
      <x:c r="C34" s="38" t="n">
        <x:v>215276</x:v>
      </x:c>
      <x:c r="D34" s="38" t="n">
        <x:v>127905</x:v>
      </x:c>
      <x:c r="E34" s="38" t="n">
        <x:v>437074</x:v>
      </x:c>
      <x:c r="F34" s="38" t="n">
        <x:v>780255</x:v>
      </x:c>
      <x:c r="G34" s="207" t="str">
        <x:v>相符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 t="str">
        <x:v>2025-07</x:v>
      </x:c>
      <x:c r="B35" s="1" t="str">
        <x:v>假日</x:v>
      </x:c>
      <x:c r="C35" s="38" t="n">
        <x:v>53686</x:v>
      </x:c>
      <x:c r="D35" s="38" t="n">
        <x:v>35506</x:v>
      </x:c>
      <x:c r="E35" s="38" t="n">
        <x:v>40156</x:v>
      </x:c>
      <x:c r="F35" s="38" t="n">
        <x:v>129348</x:v>
      </x:c>
      <x:c r="G35" s="207" t="str">
        <x:v>相符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 t="str">
        <x:v>2025-08</x:v>
      </x:c>
      <x:c r="B36" s="1" t="str">
        <x:v>假日</x:v>
      </x:c>
      <x:c r="C36" s="38" t="n">
        <x:v>75084</x:v>
      </x:c>
      <x:c r="D36" s="38" t="n">
        <x:v>50464</x:v>
      </x:c>
      <x:c r="E36" s="38" t="n">
        <x:v>66531</x:v>
      </x:c>
      <x:c r="F36" s="38" t="n">
        <x:v>192079</x:v>
      </x:c>
      <x:c r="G36" s="207" t="str">
        <x:v>相符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 t="str">
        <x:v>2025-09</x:v>
      </x:c>
      <x:c r="B37" s="1" t="str">
        <x:v>假日</x:v>
      </x:c>
      <x:c r="C37" s="38" t="n">
        <x:v>62274</x:v>
      </x:c>
      <x:c r="D37" s="38" t="n">
        <x:v>43172</x:v>
      </x:c>
      <x:c r="E37" s="38" t="n">
        <x:v>64528</x:v>
      </x:c>
      <x:c r="F37" s="38" t="n">
        <x:v>169974</x:v>
      </x:c>
      <x:c r="G37" s="207" t="str">
        <x:v>相符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 t="str">
        <x:v>2025-10</x:v>
      </x:c>
      <x:c r="B38" s="1" t="str">
        <x:v>假日</x:v>
      </x:c>
      <x:c r="C38" s="38" t="n">
        <x:v>52052</x:v>
      </x:c>
      <x:c r="D38" s="38" t="n">
        <x:v>34152</x:v>
      </x:c>
      <x:c r="E38" s="38" t="n">
        <x:v>59263</x:v>
      </x:c>
      <x:c r="F38" s="38" t="n">
        <x:v>145467</x:v>
      </x:c>
      <x:c r="G38" s="207" t="str">
        <x:v>相符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 t="str">
        <x:v>2025-11</x:v>
      </x:c>
      <x:c r="B39" s="1" t="str">
        <x:v>假日</x:v>
      </x:c>
      <x:c r="C39" s="38" t="n">
        <x:v>75052</x:v>
      </x:c>
      <x:c r="D39" s="38" t="n">
        <x:v>52379</x:v>
      </x:c>
      <x:c r="E39" s="38" t="n">
        <x:v>93351</x:v>
      </x:c>
      <x:c r="F39" s="38" t="n">
        <x:v>220782</x:v>
      </x:c>
      <x:c r="G39" s="207" t="str">
        <x:v>相符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 t="str">
        <x:v>2025-12</x:v>
      </x:c>
      <x:c r="B40" s="1" t="str">
        <x:v>假日</x:v>
      </x:c>
      <x:c r="C40" s="38" t="n">
        <x:v>51799</x:v>
      </x:c>
      <x:c r="D40" s="38" t="n">
        <x:v>34807</x:v>
      </x:c>
      <x:c r="E40" s="38" t="n">
        <x:v>69478</x:v>
      </x:c>
      <x:c r="F40" s="38" t="n">
        <x:v>156084</x:v>
      </x:c>
      <x:c r="G40" s="207" t="str">
        <x:v>相符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 t="str">
        <x:v>2026-01</x:v>
      </x:c>
      <x:c r="B41" s="1" t="str">
        <x:v>假日</x:v>
      </x:c>
      <x:c r="C41" s="38" t="n">
        <x:v>58224</x:v>
      </x:c>
      <x:c r="D41" s="38" t="n">
        <x:v>39622</x:v>
      </x:c>
      <x:c r="E41" s="38" t="n">
        <x:v>88699</x:v>
      </x:c>
      <x:c r="F41" s="38" t="n">
        <x:v>186545</x:v>
      </x:c>
      <x:c r="G41" s="207" t="str">
        <x:v>相符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 t="str">
        <x:v>2026-02</x:v>
      </x:c>
      <x:c r="B42" s="1" t="str">
        <x:v>假日</x:v>
      </x:c>
      <x:c r="C42" s="38" t="n">
        <x:v>46969</x:v>
      </x:c>
      <x:c r="D42" s="38" t="n">
        <x:v>31103</x:v>
      </x:c>
      <x:c r="E42" s="38" t="n">
        <x:v>75609</x:v>
      </x:c>
      <x:c r="F42" s="38" t="n">
        <x:v>153681</x:v>
      </x:c>
      <x:c r="G42" s="207" t="str">
        <x:v>相符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 t="str">
        <x:v>2026-03</x:v>
      </x:c>
      <x:c r="B43" s="1" t="str">
        <x:v>假日</x:v>
      </x:c>
      <x:c r="C43" s="38" t="n">
        <x:v>63921</x:v>
      </x:c>
      <x:c r="D43" s="38" t="n">
        <x:v>46671</x:v>
      </x:c>
      <x:c r="E43" s="38" t="n">
        <x:v>120891</x:v>
      </x:c>
      <x:c r="F43" s="38" t="n">
        <x:v>231483</x:v>
      </x:c>
      <x:c r="G43" s="207" t="str">
        <x:v>相符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 t="str">
        <x:v>2026-04</x:v>
      </x:c>
      <x:c r="B44" s="1" t="str">
        <x:v>假日</x:v>
      </x:c>
      <x:c r="C44" s="38" t="n">
        <x:v>54566</x:v>
      </x:c>
      <x:c r="D44" s="38" t="n">
        <x:v>40392</x:v>
      </x:c>
      <x:c r="E44" s="38" t="n">
        <x:v>112870</x:v>
      </x:c>
      <x:c r="F44" s="38" t="n">
        <x:v>207828</x:v>
      </x:c>
      <x:c r="G44" s="207" t="str">
        <x:v>相符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 t="str">
        <x:v>2026-05</x:v>
      </x:c>
      <x:c r="B45" s="1" t="str">
        <x:v>假日</x:v>
      </x:c>
      <x:c r="C45" s="38" t="n">
        <x:v>79108</x:v>
      </x:c>
      <x:c r="D45" s="38" t="n">
        <x:v>59390</x:v>
      </x:c>
      <x:c r="E45" s="38" t="n">
        <x:v>173840</x:v>
      </x:c>
      <x:c r="F45" s="38" t="n">
        <x:v>312338</x:v>
      </x:c>
      <x:c r="G45" s="207" t="str">
        <x:v>相符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 t="str">
        <x:v>2026-06</x:v>
      </x:c>
      <x:c r="B46" s="1" t="str">
        <x:v>假日</x:v>
      </x:c>
      <x:c r="C46" s="38" t="n">
        <x:v>48831</x:v>
      </x:c>
      <x:c r="D46" s="38" t="n">
        <x:v>33577</x:v>
      </x:c>
      <x:c r="E46" s="38" t="n">
        <x:v>108528</x:v>
      </x:c>
      <x:c r="F46" s="38" t="n">
        <x:v>190936</x:v>
      </x:c>
      <x:c r="G46" s="207" t="str">
        <x:v>相符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 t="str">
        <x:v>2026-07</x:v>
      </x:c>
      <x:c r="B47" s="1" t="str">
        <x:v>假日</x:v>
      </x:c>
      <x:c r="C47" s="38" t="n">
        <x:v>64105</x:v>
      </x:c>
      <x:c r="D47" s="38" t="n">
        <x:v>38713</x:v>
      </x:c>
      <x:c r="E47" s="38" t="n">
        <x:v>127356</x:v>
      </x:c>
      <x:c r="F47" s="38" t="n">
        <x:v>230174</x:v>
      </x:c>
      <x:c r="G47" s="207" t="str">
        <x:v>相符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 t="str">
        <x:v>2026-08</x:v>
      </x:c>
      <x:c r="B48" s="1" t="str">
        <x:v>假日</x:v>
      </x:c>
      <x:c r="C48" s="38" t="n">
        <x:v>88173</x:v>
      </x:c>
      <x:c r="D48" s="38" t="n">
        <x:v>48393</x:v>
      </x:c>
      <x:c r="E48" s="38" t="n">
        <x:v>175797</x:v>
      </x:c>
      <x:c r="F48" s="38" t="n">
        <x:v>312363</x:v>
      </x:c>
      <x:c r="G48" s="207" t="str">
        <x:v>相符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</x:row>
  </x:sheetData>
  <x:pageMargins left="0.7" right="0.7" top="0.75" bottom="0.75" header="0.3" footer="0.3"/>
  <x:legacyDrawing xmlns:r="http://schemas.openxmlformats.org/officeDocument/2006/relationships" r:id="Rb840ac3a31cc4cec"/>
  <x:tableParts count="1">
    <x:tablePart xmlns:r="http://schemas.openxmlformats.org/officeDocument/2006/relationships" r:id="R661229e3ec2042ba"/>
  </x:tableParts>
</x:worksheet>
</file>

<file path=xl/worksheets/sheet9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2" hidden="0" customWidth="1"/>
    <x:col min="5" max="5" width="18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8" hidden="0" customWidth="1"/>
    <x:col min="11" max="11" width="13" hidden="0" customWidth="1"/>
  </x:cols>
  <x:sheetData>
    <x:row r="1">
      <x:c r="A1" s="208" t="str">
        <x:v>雙北65歲以上使用2.0E比例</x:v>
      </x:c>
      <x:c r="B1" s="208"/>
      <x:c r="C1" s="208"/>
      <x:c r="D1" s="208"/>
      <x:c r="E1" s="208"/>
      <x:c r="F1" s="208"/>
      <x:c r="G1" s="208"/>
      <x:c r="H1" s="208"/>
      <x:c r="I1" s="208"/>
      <x:c r="J1" s="208"/>
      <x:c r="K1" s="208"/>
    </x:row>
    <x:row r="2">
      <x:c r="A2" s="209" t="str">
        <x:v>2025-07 至 2026-08｜65歲以上＝Looker Studio 65~100歲｜2026-09待 Looker 更新，不以敬老卡票種替代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</x:row>
    <x:row r="5">
      <x:c r="A5" s="212" t="str">
        <x:v>台北市</x:v>
      </x:c>
      <x:c r="B5" s="212"/>
      <x:c r="C5" s="212"/>
      <x:c r="D5" s="212"/>
      <x:c r="E5" s="212"/>
      <x:c r="F5" s="212"/>
      <x:c r="G5" s="212" t="str">
        <x:v>新北市</x:v>
      </x:c>
      <x:c r="H5" s="212"/>
      <x:c r="I5" s="212"/>
      <x:c r="J5" s="212"/>
      <x:c r="K5" s="212"/>
    </x:row>
    <x:row r="6" ht="42" customHeight="1">
      <x:c r="A6" s="215" t="str">
        <x:v>月份</x:v>
      </x:c>
      <x:c r="B6" s="215" t="str">
        <x:v>台北總用量</x:v>
      </x:c>
      <x:c r="C6" s="215" t="str">
        <x:v>台北2.0E次數</x:v>
      </x:c>
      <x:c r="D6" s="215" t="str">
        <x:v>台北2.0E比例</x:v>
      </x:c>
      <x:c r="E6" s="215" t="str">
        <x:v>台北65歲以上2.0E次數</x:v>
      </x:c>
      <x:c r="F6" s="215" t="str">
        <x:v>台北65歲以上占2.0E</x:v>
      </x:c>
      <x:c r="G6" s="215" t="str">
        <x:v>新北總用量</x:v>
      </x:c>
      <x:c r="H6" s="215" t="str">
        <x:v>新北2.0E次數</x:v>
      </x:c>
      <x:c r="I6" s="215" t="str">
        <x:v>新北2.0E比例</x:v>
      </x:c>
      <x:c r="J6" s="215" t="str">
        <x:v>新北65歲以上2.0E次數</x:v>
      </x:c>
      <x:c r="K6" s="215" t="str">
        <x:v>新北65歲以上占2.0E</x:v>
      </x:c>
    </x:row>
    <x:row r="7">
      <x:c r="A7" s="216" t="str">
        <x:v>2025-07</x:v>
      </x:c>
      <x:c r="B7" s="221" t="n">
        <x:v>6640633</x:v>
      </x:c>
      <x:c r="C7" s="221" t="n">
        <x:v>261965</x:v>
      </x:c>
      <x:c r="D7" s="223" t="n">
        <x:v>0.03944879953462268</x:v>
      </x:c>
      <x:c r="E7" s="221" t="n">
        <x:v>24627</x:v>
      </x:c>
      <x:c r="F7" s="223" t="n">
        <x:v>0.0940087416257897</x:v>
      </x:c>
      <x:c r="G7" s="221" t="n">
        <x:v>3437103</x:v>
      </x:c>
      <x:c r="H7" s="221" t="n">
        <x:v>243761</x:v>
      </x:c>
      <x:c r="I7" s="223" t="n">
        <x:v>0.07092048157998175</x:v>
      </x:c>
      <x:c r="J7" s="221" t="n">
        <x:v>15765</x:v>
      </x:c>
      <x:c r="K7" s="223" t="n">
        <x:v>0.06467400445518356</x:v>
      </x:c>
    </x:row>
    <x:row r="8">
      <x:c r="A8" s="216" t="str">
        <x:v>2025-08</x:v>
      </x:c>
      <x:c r="B8" s="221" t="n">
        <x:v>7430044</x:v>
      </x:c>
      <x:c r="C8" s="221" t="n">
        <x:v>307403</x:v>
      </x:c>
      <x:c r="D8" s="223" t="n">
        <x:v>0.041372971680921404</x:v>
      </x:c>
      <x:c r="E8" s="221" t="n">
        <x:v>26905</x:v>
      </x:c>
      <x:c r="F8" s="223" t="n">
        <x:v>0.08752354401225752</x:v>
      </x:c>
      <x:c r="G8" s="221" t="n">
        <x:v>3934270</x:v>
      </x:c>
      <x:c r="H8" s="221" t="n">
        <x:v>290229</x:v>
      </x:c>
      <x:c r="I8" s="223" t="n">
        <x:v>0.07376946676257604</x:v>
      </x:c>
      <x:c r="J8" s="221" t="n">
        <x:v>18165</x:v>
      </x:c>
      <x:c r="K8" s="223" t="n">
        <x:v>0.06258850769564724</x:v>
      </x:c>
    </x:row>
    <x:row r="9">
      <x:c r="A9" s="216" t="str">
        <x:v>2025-09</x:v>
      </x:c>
      <x:c r="B9" s="221" t="n">
        <x:v>7600053</x:v>
      </x:c>
      <x:c r="C9" s="221" t="n">
        <x:v>376581</x:v>
      </x:c>
      <x:c r="D9" s="223" t="n">
        <x:v>0.04954978603438687</x:v>
      </x:c>
      <x:c r="E9" s="221" t="n">
        <x:v>29428</x:v>
      </x:c>
      <x:c r="F9" s="223" t="n">
        <x:v>0.07814520647616316</x:v>
      </x:c>
      <x:c r="G9" s="221" t="n">
        <x:v>3941056</x:v>
      </x:c>
      <x:c r="H9" s="221" t="n">
        <x:v>274036</x:v>
      </x:c>
      <x:c r="I9" s="223" t="n">
        <x:v>0.06953364783448902</x:v>
      </x:c>
      <x:c r="J9" s="221" t="n">
        <x:v>16917</x:v>
      </x:c>
      <x:c r="K9" s="223" t="n">
        <x:v>0.06173276503817017</x:v>
      </x:c>
    </x:row>
    <x:row r="10">
      <x:c r="A10" s="216" t="str">
        <x:v>2025-10</x:v>
      </x:c>
      <x:c r="B10" s="221" t="n">
        <x:v>6600331</x:v>
      </x:c>
      <x:c r="C10" s="221" t="n">
        <x:v>319393</x:v>
      </x:c>
      <x:c r="D10" s="223" t="n">
        <x:v>0.04839045193339546</x:v>
      </x:c>
      <x:c r="E10" s="221" t="n">
        <x:v>27063</x:v>
      </x:c>
      <x:c r="F10" s="223" t="n">
        <x:v>0.08473260215471222</x:v>
      </x:c>
      <x:c r="G10" s="221" t="n">
        <x:v>3502587</x:v>
      </x:c>
      <x:c r="H10" s="221" t="n">
        <x:v>239939</x:v>
      </x:c>
      <x:c r="I10" s="223" t="n">
        <x:v>0.0685033662261637</x:v>
      </x:c>
      <x:c r="J10" s="221" t="n">
        <x:v>15629</x:v>
      </x:c>
      <x:c r="K10" s="223" t="n">
        <x:v>0.06513738908639279</x:v>
      </x:c>
    </x:row>
    <x:row r="11">
      <x:c r="A11" s="216" t="str">
        <x:v>2025-11</x:v>
      </x:c>
      <x:c r="B11" s="221" t="n">
        <x:v>6947547</x:v>
      </x:c>
      <x:c r="C11" s="221" t="n">
        <x:v>337686</x:v>
      </x:c>
      <x:c r="D11" s="223" t="n">
        <x:v>0.048605068810617616</x:v>
      </x:c>
      <x:c r="E11" s="221" t="n">
        <x:v>28156</x:v>
      </x:c>
      <x:c r="F11" s="223" t="n">
        <x:v>0.08337923396291229</x:v>
      </x:c>
      <x:c r="G11" s="221" t="n">
        <x:v>3608396</x:v>
      </x:c>
      <x:c r="H11" s="221" t="n">
        <x:v>241686</x:v>
      </x:c>
      <x:c r="I11" s="223" t="n">
        <x:v>0.06697879057620061</x:v>
      </x:c>
      <x:c r="J11" s="221" t="n">
        <x:v>15918</x:v>
      </x:c>
      <x:c r="K11" s="223" t="n">
        <x:v>0.06586231722151883</x:v>
      </x:c>
    </x:row>
    <x:row r="12">
      <x:c r="A12" s="216" t="str">
        <x:v>2025-12</x:v>
      </x:c>
      <x:c r="B12" s="221" t="n">
        <x:v>7309242</x:v>
      </x:c>
      <x:c r="C12" s="221" t="n">
        <x:v>381726</x:v>
      </x:c>
      <x:c r="D12" s="223" t="n">
        <x:v>0.052225114450992316</x:v>
      </x:c>
      <x:c r="E12" s="221" t="n">
        <x:v>30429</x:v>
      </x:c>
      <x:c r="F12" s="223" t="n">
        <x:v>0.07971424529636441</x:v>
      </x:c>
      <x:c r="G12" s="221" t="n">
        <x:v>3732563</x:v>
      </x:c>
      <x:c r="H12" s="221" t="n">
        <x:v>241586</x:v>
      </x:c>
      <x:c r="I12" s="223" t="n">
        <x:v>0.06472389079568114</x:v>
      </x:c>
      <x:c r="J12" s="221" t="n">
        <x:v>15418</x:v>
      </x:c>
      <x:c r="K12" s="223" t="n">
        <x:v>0.06381992333992864</x:v>
      </x:c>
    </x:row>
    <x:row r="13">
      <x:c r="A13" s="216" t="str">
        <x:v>2026-01</x:v>
      </x:c>
      <x:c r="B13" s="221" t="n">
        <x:v>6810359</x:v>
      </x:c>
      <x:c r="C13" s="221" t="n">
        <x:v>363375</x:v>
      </x:c>
      <x:c r="D13" s="223" t="n">
        <x:v>0.053356218078958836</x:v>
      </x:c>
      <x:c r="E13" s="221" t="n">
        <x:v>28869</x:v>
      </x:c>
      <x:c r="F13" s="223" t="n">
        <x:v>0.0794468524251806</x:v>
      </x:c>
      <x:c r="G13" s="221" t="n">
        <x:v>3676259</x:v>
      </x:c>
      <x:c r="H13" s="221" t="n">
        <x:v>251266</x:v>
      </x:c>
      <x:c r="I13" s="223" t="n">
        <x:v>0.06834828558053173</x:v>
      </x:c>
      <x:c r="J13" s="221" t="n">
        <x:v>15297</x:v>
      </x:c>
      <x:c r="K13" s="223" t="n">
        <x:v>0.06087970517300391</x:v>
      </x:c>
    </x:row>
    <x:row r="14">
      <x:c r="A14" s="216" t="str">
        <x:v>2026-02</x:v>
      </x:c>
      <x:c r="B14" s="221" t="n">
        <x:v>5837647</x:v>
      </x:c>
      <x:c r="C14" s="221" t="n">
        <x:v>337127</x:v>
      </x:c>
      <x:c r="D14" s="223" t="n">
        <x:v>0.05775049433444674</x:v>
      </x:c>
      <x:c r="E14" s="221" t="n">
        <x:v>28287</x:v>
      </x:c>
      <x:c r="F14" s="223" t="n">
        <x:v>0.08390606507339964</x:v>
      </x:c>
      <x:c r="G14" s="221" t="n">
        <x:v>3255507</x:v>
      </x:c>
      <x:c r="H14" s="221" t="n">
        <x:v>241739</x:v>
      </x:c>
      <x:c r="I14" s="223" t="n">
        <x:v>0.07425540783662883</x:v>
      </x:c>
      <x:c r="J14" s="221" t="n">
        <x:v>15405</x:v>
      </x:c>
      <x:c r="K14" s="223" t="n">
        <x:v>0.06372575380885998</x:v>
      </x:c>
    </x:row>
    <x:row r="15">
      <x:c r="A15" s="216" t="str">
        <x:v>2026-03</x:v>
      </x:c>
      <x:c r="B15" s="221" t="n">
        <x:v>7751464</x:v>
      </x:c>
      <x:c r="C15" s="221" t="n">
        <x:v>478039</x:v>
      </x:c>
      <x:c r="D15" s="223" t="n">
        <x:v>0.06167080179950523</x:v>
      </x:c>
      <x:c r="E15" s="221" t="n">
        <x:v>33072</x:v>
      </x:c>
      <x:c r="F15" s="223" t="n">
        <x:v>0.06918263991013286</x:v>
      </x:c>
      <x:c r="G15" s="221" t="n">
        <x:v>4130060</x:v>
      </x:c>
      <x:c r="H15" s="221" t="n">
        <x:v>283640</x:v>
      </x:c>
      <x:c r="I15" s="223" t="n">
        <x:v>0.06867696837334082</x:v>
      </x:c>
      <x:c r="J15" s="221" t="n">
        <x:v>16243</x:v>
      </x:c>
      <x:c r="K15" s="223" t="n">
        <x:v>0.05726625299675645</x:v>
      </x:c>
    </x:row>
    <x:row r="16">
      <x:c r="A16" s="216" t="str">
        <x:v>2026-04</x:v>
      </x:c>
      <x:c r="B16" s="221" t="n">
        <x:v>7389038</x:v>
      </x:c>
      <x:c r="C16" s="221" t="n">
        <x:v>456581</x:v>
      </x:c>
      <x:c r="D16" s="223" t="n">
        <x:v>0.0617916703094503</x:v>
      </x:c>
      <x:c r="E16" s="221" t="n">
        <x:v>30175</x:v>
      </x:c>
      <x:c r="F16" s="223" t="n">
        <x:v>0.06608904006079973</x:v>
      </x:c>
      <x:c r="G16" s="221" t="n">
        <x:v>4000609</x:v>
      </x:c>
      <x:c r="H16" s="221" t="n">
        <x:v>290408</x:v>
      </x:c>
      <x:c r="I16" s="223" t="n">
        <x:v>0.07259094802816271</x:v>
      </x:c>
      <x:c r="J16" s="221" t="n">
        <x:v>15697</x:v>
      </x:c>
      <x:c r="K16" s="223" t="n">
        <x:v>0.05405154127985455</x:v>
      </x:c>
    </x:row>
    <x:row r="17">
      <x:c r="A17" s="216" t="str">
        <x:v>2026-05</x:v>
      </x:c>
      <x:c r="B17" s="221" t="n">
        <x:v>8197979</x:v>
      </x:c>
      <x:c r="C17" s="221" t="n">
        <x:v>543150</x:v>
      </x:c>
      <x:c r="D17" s="223" t="n">
        <x:v>0.06625413409817224</x:v>
      </x:c>
      <x:c r="E17" s="221" t="n">
        <x:v>33531</x:v>
      </x:c>
      <x:c r="F17" s="223" t="n">
        <x:v>0.06173432753383044</x:v>
      </x:c>
      <x:c r="G17" s="221" t="n">
        <x:v>4587782</x:v>
      </x:c>
      <x:c r="H17" s="221" t="n">
        <x:v>354134</x:v>
      </x:c>
      <x:c r="I17" s="223" t="n">
        <x:v>0.07719067732512137</x:v>
      </x:c>
      <x:c r="J17" s="221" t="n">
        <x:v>18343</x:v>
      </x:c>
      <x:c r="K17" s="223" t="n">
        <x:v>0.05179677749100623</x:v>
      </x:c>
    </x:row>
    <x:row r="18">
      <x:c r="A18" s="216" t="str">
        <x:v>2026-06</x:v>
      </x:c>
      <x:c r="B18" s="221" t="n">
        <x:v>6406441</x:v>
      </x:c>
      <x:c r="C18" s="221" t="n">
        <x:v>435473</x:v>
      </x:c>
      <x:c r="D18" s="223" t="n">
        <x:v>0.06797424654343964</x:v>
      </x:c>
      <x:c r="E18" s="221" t="n">
        <x:v>28705</x:v>
      </x:c>
      <x:c r="F18" s="223" t="n">
        <x:v>0.0659168306645877</x:v>
      </x:c>
      <x:c r="G18" s="221" t="n">
        <x:v>3621529</x:v>
      </x:c>
      <x:c r="H18" s="221" t="n">
        <x:v>275391</x:v>
      </x:c>
      <x:c r="I18" s="223" t="n">
        <x:v>0.07604274327224772</x:v>
      </x:c>
      <x:c r="J18" s="221" t="n">
        <x:v>14884</x:v>
      </x:c>
      <x:c r="K18" s="223" t="n">
        <x:v>0.054046791652595766</x:v>
      </x:c>
    </x:row>
    <x:row r="19">
      <x:c r="A19" s="216" t="str">
        <x:v>2026-07</x:v>
      </x:c>
      <x:c r="B19" s="221" t="n">
        <x:v>7755642</x:v>
      </x:c>
      <x:c r="C19" s="221" t="n">
        <x:v>674111</x:v>
      </x:c>
      <x:c r="D19" s="223" t="n">
        <x:v>0.08691878763872804</x:v>
      </x:c>
      <x:c r="E19" s="221" t="n">
        <x:v>97427</x:v>
      </x:c>
      <x:c r="F19" s="223" t="n">
        <x:v>0.14452664323827974</x:v>
      </x:c>
      <x:c r="G19" s="221" t="n">
        <x:v>4359122</x:v>
      </x:c>
      <x:c r="H19" s="221" t="n">
        <x:v>358943</x:v>
      </x:c>
      <x:c r="I19" s="223" t="n">
        <x:v>0.08234295805439719</x:v>
      </x:c>
      <x:c r="J19" s="221" t="n">
        <x:v>40411</x:v>
      </x:c>
      <x:c r="K19" s="223" t="n">
        <x:v>0.1125833349584753</x:v>
      </x:c>
    </x:row>
    <x:row r="20">
      <x:c r="A20" s="216" t="str">
        <x:v>2026-08</x:v>
      </x:c>
      <x:c r="B20" s="221" t="n">
        <x:v>7418322</x:v>
      </x:c>
      <x:c r="C20" s="221" t="n">
        <x:v>710468</x:v>
      </x:c>
      <x:c r="D20" s="223" t="n">
        <x:v>0.09577206273871638</x:v>
      </x:c>
      <x:c r="E20" s="221" t="n">
        <x:v>123256</x:v>
      </x:c>
      <x:c r="F20" s="223" t="n">
        <x:v>0.17348564608117467</x:v>
      </x:c>
      <x:c r="G20" s="221" t="n">
        <x:v>4290885</x:v>
      </x:c>
      <x:c r="H20" s="221" t="n">
        <x:v>382150</x:v>
      </x:c>
      <x:c r="I20" s="223" t="n">
        <x:v>0.08906088137994843</x:v>
      </x:c>
      <x:c r="J20" s="221" t="n">
        <x:v>47685</x:v>
      </x:c>
      <x:c r="K20" s="223" t="n">
        <x:v>0.1247808452178464</x:v>
      </x:c>
    </x:row>
    <x:row r="21">
      <x:c r="A21" s="216" t="str">
        <x:v>2026-09（待更新）</x:v>
      </x:c>
      <x:c r="B21" s="221" t="n">
        <x:v>6798269</x:v>
      </x:c>
      <x:c r="C21" s="221" t="n">
        <x:v>667755</x:v>
      </x:c>
      <x:c r="D21" s="223" t="n">
        <x:v>0.09822426856012906</x:v>
      </x:c>
      <x:c r="E21" s="221"/>
      <x:c r="F21" s="223"/>
      <x:c r="G21" s="221" t="n">
        <x:v>3826282</x:v>
      </x:c>
      <x:c r="H21" s="221" t="n">
        <x:v>346948</x:v>
      </x:c>
      <x:c r="I21" s="223" t="n">
        <x:v>0.09067496854648978</x:v>
      </x:c>
      <x:c r="J21" s="221"/>
      <x:c r="K21" s="223"/>
    </x:row>
    <x:row r="22">
      <x:c r="A22" s="218" t="str">
        <x:v>65歲以上期間合計（至2026-08）</x:v>
      </x:c>
      <x:c r="B22" s="222" t="n">
        <x:v>100094742</x:v>
      </x:c>
      <x:c r="C22" s="222" t="n">
        <x:v>5983078</x:v>
      </x:c>
      <x:c r="D22" s="224" t="n">
        <x:v>0.05977414877596667</x:v>
      </x:c>
      <x:c r="E22" s="222" t="n">
        <x:v>569930</x:v>
      </x:c>
      <x:c r="F22" s="224" t="n">
        <x:v>0.0952569897968905</x:v>
      </x:c>
      <x:c r="G22" s="222" t="n">
        <x:v>54077728</x:v>
      </x:c>
      <x:c r="H22" s="222" t="n">
        <x:v>3968908</x:v>
      </x:c>
      <x:c r="I22" s="224" t="n">
        <x:v>0.07339265436595266</x:v>
      </x:c>
      <x:c r="J22" s="222" t="n">
        <x:v>281777</x:v>
      </x:c>
      <x:c r="K22" s="224" t="n">
        <x:v>0.07099610270633636</x:v>
      </x:c>
    </x:row>
    <x:row r="23" ht="30" customHeight="1">
      <x:c r="A23" s="220" t="str">
        <x:v>2026-09的65歲以上次數與比例留白：待Looker Studio更新65~100歲資料後再補，不可用敬老卡使用次數替代。</x:v>
      </x:c>
      <x:c r="B23" s="220"/>
      <x:c r="C23" s="220"/>
      <x:c r="D23" s="220"/>
      <x:c r="E23" s="220"/>
      <x:c r="F23" s="220"/>
      <x:c r="G23" s="220"/>
      <x:c r="H23" s="220"/>
      <x:c r="I23" s="220"/>
      <x:c r="J23" s="220"/>
      <x:c r="K23" s="220"/>
    </x:row>
    <x:row r="43">
      <x:c r="A43" t="str">
        <x:v>每日來源</x:v>
      </x:c>
      <x:c r="B43" t="str">
        <x:v>https://youbike-report-api-421613424541.asia-east1.run.app/report/gcpfun</x:v>
      </x:c>
    </x:row>
    <x:row r="44">
      <x:c r="A44" t="str">
        <x:v>年齡來源</x:v>
      </x:c>
      <x:c r="B44" t="str">
        <x:v>https://datastudio.google.com/reporting/47a02eaf-102a-452c-922f-97a75e5a27e5/page/8GclC</x:v>
      </x:c>
    </x:row>
    <x:row r="45">
      <x:c r="A45" t="str">
        <x:v>2026-09年齡資料</x:v>
      </x:c>
      <x:c r="B45" t="str">
        <x:v>待 Looker 更新（不可用敬老卡替代）</x:v>
      </x:c>
    </x:row>
  </x:sheetData>
  <x:mergeCells>
    <x:mergeCell ref="A1:K1"/>
    <x:mergeCell ref="A2:K2"/>
    <x:mergeCell ref="A5:F5"/>
    <x:mergeCell ref="G5:K5"/>
    <x:mergeCell ref="A23:K23"/>
  </x:mergeCells>
  <x:pageMargins left="0.7" right="0.7" top="0.75" bottom="0.75" header="0.3" footer="0.3"/>
  <x:drawing xmlns:r="http://schemas.openxmlformats.org/officeDocument/2006/relationships" r:id="R6f395a292d1d4af6"/>
</x:worksheet>
</file>

<file path=xl/worksheets/sheet10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2" hidden="0" customWidth="1"/>
    <x:col min="5" max="5" width="17" hidden="0" customWidth="1"/>
    <x:col min="6" max="6" width="13" hidden="0" customWidth="1"/>
    <x:col min="7" max="7" width="14" hidden="0" customWidth="1"/>
    <x:col min="8" max="8" width="14" hidden="0" customWidth="1"/>
    <x:col min="9" max="9" width="12" hidden="0" customWidth="1"/>
    <x:col min="10" max="10" width="17" hidden="0" customWidth="1"/>
    <x:col min="11" max="11" width="13" hidden="0" customWidth="1"/>
  </x:cols>
  <x:sheetData>
    <x:row r="1">
      <x:c r="A1" s="227" t="str">
        <x:v>雙北敬老卡使用比例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</x:row>
    <x:row r="2">
      <x:c r="A2" s="209" t="str">
        <x:v>2026-09-01 至 2026-09-27｜敬老卡比例＝2.0E敬老卡使用次數÷2.0E租借次數｜僅列可驗證資料</x:v>
      </x:c>
      <x:c r="B2" s="209"/>
      <x:c r="C2" s="209"/>
      <x:c r="D2" s="209"/>
      <x:c r="E2" s="209"/>
      <x:c r="F2" s="209"/>
      <x:c r="G2" s="209"/>
      <x:c r="H2" s="209"/>
      <x:c r="I2" s="209"/>
      <x:c r="J2" s="209"/>
      <x:c r="K2" s="209"/>
    </x:row>
    <x:row r="5">
      <x:c r="A5" s="230" t="str">
        <x:v>台北市</x:v>
      </x:c>
      <x:c r="B5" s="230"/>
      <x:c r="C5" s="230"/>
      <x:c r="D5" s="230"/>
      <x:c r="E5" s="230"/>
      <x:c r="F5" s="230"/>
      <x:c r="G5" s="230" t="str">
        <x:v>新北市</x:v>
      </x:c>
      <x:c r="H5" s="230"/>
      <x:c r="I5" s="230"/>
      <x:c r="J5" s="230"/>
      <x:c r="K5" s="230"/>
    </x:row>
    <x:row r="6" ht="42" customHeight="1">
      <x:c r="A6" s="233" t="str">
        <x:v>期間</x:v>
      </x:c>
      <x:c r="B6" s="233" t="str">
        <x:v>台北總用量</x:v>
      </x:c>
      <x:c r="C6" s="233" t="str">
        <x:v>台北2.0E次數</x:v>
      </x:c>
      <x:c r="D6" s="233" t="str">
        <x:v>台北2.0E比例</x:v>
      </x:c>
      <x:c r="E6" s="233" t="str">
        <x:v>台北敬老卡次數</x:v>
      </x:c>
      <x:c r="F6" s="233" t="str">
        <x:v>台北敬老卡占2.0E</x:v>
      </x:c>
      <x:c r="G6" s="233" t="str">
        <x:v>新北總用量</x:v>
      </x:c>
      <x:c r="H6" s="233" t="str">
        <x:v>新北2.0E次數</x:v>
      </x:c>
      <x:c r="I6" s="233" t="str">
        <x:v>新北2.0E比例</x:v>
      </x:c>
      <x:c r="J6" s="233" t="str">
        <x:v>新北敬老卡次數</x:v>
      </x:c>
      <x:c r="K6" s="233" t="str">
        <x:v>新北敬老卡占2.0E</x:v>
      </x:c>
    </x:row>
    <x:row r="7">
      <x:c r="A7" s="234" t="str">
        <x:v>2026-09/1–9/27</x:v>
      </x:c>
      <x:c r="B7" s="235" t="n">
        <x:v>6798269</x:v>
      </x:c>
      <x:c r="C7" s="235" t="n">
        <x:v>667755</x:v>
      </x:c>
      <x:c r="D7" s="236" t="n">
        <x:f>C7/B7</x:f>
        <x:v>0.09822426856012906</x:v>
      </x:c>
      <x:c r="E7" s="235" t="n">
        <x:v>233981</x:v>
      </x:c>
      <x:c r="F7" s="236" t="n">
        <x:f>E7/C7</x:f>
        <x:v>0.3503994728605551</x:v>
      </x:c>
      <x:c r="G7" s="235" t="n">
        <x:v>3826282</x:v>
      </x:c>
      <x:c r="H7" s="235" t="n">
        <x:v>346948</x:v>
      </x:c>
      <x:c r="I7" s="236" t="n">
        <x:f>H7/G7</x:f>
        <x:v>0.09067496854648978</x:v>
      </x:c>
      <x:c r="J7" s="235" t="n">
        <x:v>92900</x:v>
      </x:c>
      <x:c r="K7" s="236" t="n">
        <x:f>J7/H7</x:f>
        <x:v>0.26776346887718044</x:v>
      </x:c>
    </x:row>
    <x:row r="9" ht="28" customHeight="1">
      <x:c r="A9" s="238" t="str">
        <x:v>口徑</x:v>
      </x:c>
      <x:c r="B9" s="237" t="str">
        <x:v>本活頁為敬老卡票種使用，不等同65歲以上使用者；其他月份無可驗證的敬老卡歷史值，因此不以年齡資料補值。</x:v>
      </x:c>
      <x:c r="C9" s="237"/>
      <x:c r="D9" s="237"/>
      <x:c r="E9" s="237"/>
      <x:c r="F9" s="237"/>
      <x:c r="G9" s="237"/>
      <x:c r="H9" s="237"/>
      <x:c r="I9" s="237"/>
      <x:c r="J9" s="237"/>
      <x:c r="K9" s="237"/>
    </x:row>
    <x:row r="10" ht="28" customHeight="1">
      <x:c r="A10" s="238" t="str">
        <x:v>台北來源</x:v>
      </x:c>
      <x:c r="B10" s="237" t="str">
        <x:v>Report 2.0E敬老使用次數；9/1–9/23與Google表單W欄逐日一致，9/24–9/27表單空白採Report。</x:v>
      </x:c>
      <x:c r="C10" s="237"/>
      <x:c r="D10" s="237"/>
      <x:c r="E10" s="237"/>
      <x:c r="F10" s="237"/>
      <x:c r="G10" s="237"/>
      <x:c r="H10" s="237"/>
      <x:c r="I10" s="237"/>
      <x:c r="J10" s="237"/>
      <x:c r="K10" s="237"/>
    </x:row>
    <x:row r="11" ht="28" customHeight="1">
      <x:c r="A11" s="238" t="str">
        <x:v>新北來源</x:v>
      </x:c>
      <x:c r="B11" s="237" t="str">
        <x:v>Report 2.0E敬老使用次數。</x:v>
      </x:c>
      <x:c r="C11" s="237"/>
      <x:c r="D11" s="237"/>
      <x:c r="E11" s="237"/>
      <x:c r="F11" s="237"/>
      <x:c r="G11" s="237"/>
      <x:c r="H11" s="237"/>
      <x:c r="I11" s="237"/>
      <x:c r="J11" s="237"/>
      <x:c r="K11" s="237"/>
    </x:row>
    <x:row r="13">
      <x:c r="A13" s="242" t="str">
        <x:v>城市</x:v>
      </x:c>
      <x:c r="B13" s="242" t="str">
        <x:v>敬老卡占2.0E</x:v>
      </x:c>
    </x:row>
    <x:row r="14">
      <x:c r="A14" s="239" t="str">
        <x:v>台北</x:v>
      </x:c>
      <x:c r="B14" s="240" t="n">
        <x:f>F7</x:f>
        <x:v>0.3503994728605551</x:v>
      </x:c>
    </x:row>
    <x:row r="15">
      <x:c r="A15" s="239" t="str">
        <x:v>新北</x:v>
      </x:c>
      <x:c r="B15" s="240" t="n">
        <x:f>K7</x:f>
        <x:v>0.26776346887718044</x:v>
      </x:c>
    </x:row>
    <x:row r="30">
      <x:c r="A30" s="243" t="str">
        <x:v>Report API</x:v>
      </x:c>
      <x:c r="B30" s="243" t="str">
        <x:v>https://youbike-report-api-421613424541.asia-east1.run.app/report/gcpfun</x:v>
      </x:c>
      <x:c r="C30" s="243"/>
      <x:c r="D30" s="243"/>
      <x:c r="E30" s="243"/>
      <x:c r="F30" s="243"/>
      <x:c r="G30" s="243"/>
      <x:c r="H30" s="243"/>
      <x:c r="I30" s="243"/>
      <x:c r="J30" s="243"/>
      <x:c r="K30" s="243"/>
    </x:row>
    <x:row r="31">
      <x:c r="A31" s="243" t="str">
        <x:v>台北表單</x:v>
      </x:c>
      <x:c r="B31" s="243" t="str">
        <x:v>https://docs.google.com/spreadsheets/d/1pkmFpXGPL0oRrZVroEGoPB1IZdwW5mX7Wy-CgOTtGmk/edit?gid=494039370#gid=494039370</x:v>
      </x:c>
      <x:c r="C31" s="243"/>
      <x:c r="D31" s="243"/>
      <x:c r="E31" s="243"/>
      <x:c r="F31" s="243"/>
      <x:c r="G31" s="243"/>
      <x:c r="H31" s="243"/>
      <x:c r="I31" s="243"/>
      <x:c r="J31" s="243"/>
      <x:c r="K31" s="243"/>
    </x:row>
  </x:sheetData>
  <x:mergeCells>
    <x:mergeCell ref="A5:F5"/>
    <x:mergeCell ref="G5:K5"/>
    <x:mergeCell ref="A1:K1"/>
    <x:mergeCell ref="A2:K2"/>
    <x:mergeCell ref="B9:K9"/>
    <x:mergeCell ref="B10:K10"/>
    <x:mergeCell ref="B11:K11"/>
    <x:mergeCell ref="B30:K30"/>
    <x:mergeCell ref="B31:K31"/>
  </x:mergeCells>
  <x:pageMargins left="0.7" right="0.7" top="0.75" bottom="0.75" header="0.3" footer="0.3"/>
  <x:drawing xmlns:r="http://schemas.openxmlformats.org/officeDocument/2006/relationships" r:id="R03391fd383944adc"/>
</x:worksheet>
</file>